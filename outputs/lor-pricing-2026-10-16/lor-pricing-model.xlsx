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67fa823e4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0de38fb6604484"/>
    <x:sheet xmlns:r="http://schemas.openxmlformats.org/officeDocument/2006/relationships" name="Inputs" sheetId="2" r:id="R04b80834d67b407e"/>
    <x:sheet xmlns:r="http://schemas.openxmlformats.org/officeDocument/2006/relationships" name="Workloads" sheetId="3" r:id="Rf8b3d07ac2714ebe"/>
    <x:sheet xmlns:r="http://schemas.openxmlformats.org/officeDocument/2006/relationships" name="Model Rates" sheetId="4" r:id="Rc0f3cc3882d74fb4"/>
    <x:sheet xmlns:r="http://schemas.openxmlformats.org/officeDocument/2006/relationships" name="Cost Build" sheetId="5" r:id="R9c0f27f88c584a01"/>
    <x:sheet xmlns:r="http://schemas.openxmlformats.org/officeDocument/2006/relationships" name="Scenarios" sheetId="6" r:id="R02f8c9ba43794d14"/>
    <x:sheet xmlns:r="http://schemas.openxmlformats.org/officeDocument/2006/relationships" name="Fleet" sheetId="7" r:id="Red0aa8e73a6748b7"/>
    <x:sheet xmlns:r="http://schemas.openxmlformats.org/officeDocument/2006/relationships" name="Sources" sheetId="8" r:id="R87214d3cdbca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;(0.0%);&quot;—&quot;"/>
    <x:numFmt numFmtId="202" formatCode="0.000"/>
    <x:numFmt numFmtId="203" formatCode="0.00000000"/>
    <x:numFmt numFmtId="204" formatCode="#,##0;(#,##0);&quot;—&quot;"/>
    <x:numFmt numFmtId="205" formatCode="0.00"/>
    <x:numFmt numFmtId="206" formatCode="$0.0000"/>
    <x:numFmt numFmtId="207" formatCode="$#,##0.00;($#,##0.00);&quot;—&quot;"/>
  </x:numFmts>
  <x:fonts count="10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i/>
      <x:sz val="10"/>
      <x:color rgb="FF617085"/>
      <x:name val="Arial"/>
    </x:font>
    <x:font>
      <x:b/>
      <x:sz val="10"/>
      <x:color rgb="FFFFFFFF"/>
      <x:name val="Arial"/>
    </x:font>
    <x:font>
      <x:sz val="10"/>
      <x:color rgb="FF2454B5"/>
      <x:name val="Arial"/>
    </x:font>
    <x:font>
      <x:sz val="10"/>
      <x:color rgb="FF177245"/>
      <x:name val="Arial"/>
    </x:font>
    <x:font>
      <x:b/>
      <x:sz val="10"/>
      <x:color rgb="FF172B4D"/>
      <x:name val="Arial"/>
    </x:font>
    <x:font>
      <x:b/>
      <x:sz val="10"/>
      <x:color rgb="FF177245"/>
      <x:name val="Arial"/>
    </x:font>
    <x:font>
      <x:sz val="10"/>
      <x:color rgb="FF6170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5D9"/>
      </x:patternFill>
    </x:fill>
    <x:fill>
      <x:patternFill patternType="solid">
        <x:fgColor rgb="FFE9EEF5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4" fontId="5" fillId="3" borderId="0" xfId="0" applyNumberFormat="1" applyFont="1" applyFill="1" applyBorder="1"/>
    <x:xf numFmtId="205" fontId="5" fillId="3" borderId="0" xfId="0" applyNumberFormat="1" applyFont="1" applyFill="1" applyBorder="1"/>
    <x:xf numFmtId="206" fontId="1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7" fontId="6" fillId="0" borderId="0" xfId="0" applyNumberFormat="1" applyFont="1" applyFill="1" applyBorder="1"/>
    <x:xf numFmtId="0" fontId="1" fillId="4" borderId="0" xfId="0" applyNumberFormat="1" applyFont="1" applyFill="1" applyBorder="1"/>
    <x:xf numFmtId="207" fontId="6" fillId="4" borderId="0" xfId="0" applyNumberFormat="1" applyFont="1" applyFill="1" applyBorder="1"/>
    <x:xf numFmtId="0" fontId="7" fillId="4" borderId="0" xfId="0" applyNumberFormat="1" applyFont="1" applyFill="1" applyBorder="1"/>
    <x:xf numFmtId="207" fontId="8" fillId="4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5" borderId="0" xfId="0" applyNumberFormat="1" applyFont="1" applyFill="1" applyBorder="1"/>
    <x:xf numFmtId="207" fontId="1" fillId="5" borderId="0" xfId="0" applyNumberFormat="1" applyFont="1" applyFill="1" applyBorder="1"/>
    <x:xf numFmtId="201" fontId="1" fillId="5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52317"/>
      </x:font>
      <x:fill>
        <x:patternFill>
          <x:bgColor rgb="FFFFE6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f60b429fe4020" /><Relationship Type="http://schemas.openxmlformats.org/officeDocument/2006/relationships/theme" Target="/xl/theme/theme1.xml" Id="R3914848ce9dd4b4b" /><Relationship Type="http://schemas.openxmlformats.org/officeDocument/2006/relationships/sharedStrings" Target="/xl/sharedStrings.xml" Id="R819a68da838c43ca" /><Relationship Type="http://schemas.openxmlformats.org/officeDocument/2006/relationships/worksheet" Target="/xl/worksheets/sheet1.xml" Id="Rc30de38fb6604484" /><Relationship Type="http://schemas.openxmlformats.org/officeDocument/2006/relationships/worksheet" Target="/xl/worksheets/sheet2.xml" Id="R04b80834d67b407e" /><Relationship Type="http://schemas.openxmlformats.org/officeDocument/2006/relationships/worksheet" Target="/xl/worksheets/sheet3.xml" Id="Rf8b3d07ac2714ebe" /><Relationship Type="http://schemas.openxmlformats.org/officeDocument/2006/relationships/worksheet" Target="/xl/worksheets/sheet4.xml" Id="Rc0f3cc3882d74fb4" /><Relationship Type="http://schemas.openxmlformats.org/officeDocument/2006/relationships/worksheet" Target="/xl/worksheets/sheet5.xml" Id="R9c0f27f88c584a01" /><Relationship Type="http://schemas.openxmlformats.org/officeDocument/2006/relationships/worksheet" Target="/xl/worksheets/sheet6.xml" Id="R02f8c9ba43794d14" /><Relationship Type="http://schemas.openxmlformats.org/officeDocument/2006/relationships/worksheet" Target="/xl/worksheets/sheet7.xml" Id="Red0aa8e73a6748b7" /><Relationship Type="http://schemas.openxmlformats.org/officeDocument/2006/relationships/worksheet" Target="/xl/worksheets/sheet8.xml" Id="R87214d3cdbca41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5affafd0184e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10-member team margin by workload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Contribution margin</c:v>
          </c:tx>
          <c:spPr>
            <a:solidFill xmlns:a="http://schemas.openxmlformats.org/drawingml/2006/main">
              <a:srgbClr val="345B8E"/>
            </a:solidFill>
          </c:spPr>
          <c:invertIfNegative val="0"/>
          <c:cat>
            <c:strRef>
              <c:f>'Summary'!$D$14:$D$16</c:f>
              <c:strCache>
                <c:ptCount val="0"/>
              </c:strCache>
            </c:strRef>
          </c:cat>
          <c:val>
            <c:numRef>
              <c:f>'Summary'!$G$14:$G$16</c:f>
              <c:numCache>
                <c:formatCode>0.0%;(0.0%);"—"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5affafd0184e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a18bdef57c42a1" /></Relationships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Lor pricing and unit economics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38" t="str">
        <x:v>Included: search, transcription and code storage. Runtime allowance: 10 sandbox hours at 4 GB + 5 browser hours per member.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2" customHeight="1">
      <x:c r="A5" s="1"/>
      <x:c r="B5" s="1"/>
      <x:c r="C5" s="1" t="str">
        <x:v>Case selected:</x:v>
      </x:c>
      <x:c r="D5" s="34" t="str">
        <x:f>INDEX('Model Rates'!$C$6:$C$13,'Inputs'!$D$10)</x:f>
        <x:v>Default mix</x:v>
      </x:c>
      <x:c r="E5" s="34"/>
      <x:c r="F5" s="34"/>
      <x:c r="G5" s="1"/>
      <x:c r="H5" s="1" t="str">
        <x:v>Reference fleet:</x:v>
      </x:c>
      <x:c r="I5" s="1" t="n">
        <x:f>'Inputs'!$D$63</x:f>
        <x:v>50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30" customHeight="1">
      <x:c r="A7" s="1"/>
      <x:c r="B7" s="1"/>
      <x:c r="C7" s="7" t="str">
        <x:v>Paid members</x:v>
      </x:c>
      <x:c r="D7" s="7" t="str">
        <x:v>Workload</x:v>
      </x:c>
      <x:c r="E7" s="7" t="str">
        <x:v>Monthly bill</x:v>
      </x:c>
      <x:c r="F7" s="7" t="str">
        <x:v>Service cost</x:v>
      </x:c>
      <x:c r="G7" s="7" t="str">
        <x:v>Margin</x:v>
      </x:c>
      <x:c r="H7" s="7" t="str">
        <x:v>Bill/member</x:v>
      </x:c>
      <x:c r="I7" s="7" t="str">
        <x:v>Cost/member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n">
        <x:v>3</x:v>
      </x:c>
      <x:c r="D8" s="1" t="str">
        <x:v>Light</x:v>
      </x:c>
      <x:c r="E8" s="26" t="n">
        <x:f>'Scenarios'!J17</x:f>
        <x:v>87</x:v>
      </x:c>
      <x:c r="F8" s="26" t="n">
        <x:f>'Scenarios'!P17</x:f>
        <x:v>36.082621864000004</x:v>
      </x:c>
      <x:c r="G8" s="9" t="n">
        <x:f>'Scenarios'!R17</x:f>
        <x:v>0.5852572199540229</x:v>
      </x:c>
      <x:c r="H8" s="26" t="n">
        <x:f>E8/C8</x:f>
        <x:v>29</x:v>
      </x:c>
      <x:c r="I8" s="26" t="n">
        <x:f>F8/C8</x:f>
        <x:v>12.027540621333335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35" t="n">
        <x:v>3</x:v>
      </x:c>
      <x:c r="D9" s="35" t="str">
        <x:v>Typical</x:v>
      </x:c>
      <x:c r="E9" s="36" t="n">
        <x:f>'Scenarios'!J23</x:f>
        <x:v>102.8703</x:v>
      </x:c>
      <x:c r="F9" s="36" t="n">
        <x:f>'Scenarios'!P23</x:f>
        <x:v>66.99904762</x:v>
      </x:c>
      <x:c r="G9" s="37" t="n">
        <x:f>'Scenarios'!R23</x:f>
        <x:v>0.34870368201512003</x:v>
      </x:c>
      <x:c r="H9" s="36" t="n">
        <x:f>E9/C9</x:f>
        <x:v>34.2901</x:v>
      </x:c>
      <x:c r="I9" s="36" t="n">
        <x:f>F9/C9</x:f>
        <x:v>22.333015873333334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n">
        <x:v>3</x:v>
      </x:c>
      <x:c r="D10" s="1" t="str">
        <x:v>Heavy</x:v>
      </x:c>
      <x:c r="E10" s="26" t="n">
        <x:f>'Scenarios'!J29</x:f>
        <x:v>279.534</x:v>
      </x:c>
      <x:c r="F10" s="26" t="n">
        <x:f>'Scenarios'!P29</x:f>
        <x:v>195.9118348</x:v>
      </x:c>
      <x:c r="G10" s="9" t="n">
        <x:f>'Scenarios'!R29</x:f>
        <x:v>0.29914845850594196</x:v>
      </x:c>
      <x:c r="H10" s="26" t="n">
        <x:f>E10/C10</x:f>
        <x:v>93.178</x:v>
      </x:c>
      <x:c r="I10" s="26" t="n">
        <x:f>F10/C10</x:f>
        <x:v>65.30394493333334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n">
        <x:v>5</x:v>
      </x:c>
      <x:c r="D11" s="1" t="str">
        <x:v>Light</x:v>
      </x:c>
      <x:c r="E11" s="26" t="n">
        <x:f>'Scenarios'!J18</x:f>
        <x:v>145</x:v>
      </x:c>
      <x:c r="F11" s="26" t="n">
        <x:f>'Scenarios'!P18</x:f>
        <x:v>50.27103644</x:v>
      </x:c>
      <x:c r="G11" s="9" t="n">
        <x:f>'Scenarios'!R18</x:f>
        <x:v>0.6533031969655172</x:v>
      </x:c>
      <x:c r="H11" s="26" t="n">
        <x:f>E11/C11</x:f>
        <x:v>29</x:v>
      </x:c>
      <x:c r="I11" s="26" t="n">
        <x:f>F11/C11</x:f>
        <x:v>10.054207288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35" t="n">
        <x:v>5</x:v>
      </x:c>
      <x:c r="D12" s="35" t="str">
        <x:v>Typical</x:v>
      </x:c>
      <x:c r="E12" s="36" t="n">
        <x:f>'Scenarios'!J24</x:f>
        <x:v>171.45049999999998</x:v>
      </x:c>
      <x:c r="F12" s="36" t="n">
        <x:f>'Scenarios'!P24</x:f>
        <x:v>101.7984127</x:v>
      </x:c>
      <x:c r="G12" s="37" t="n">
        <x:f>'Scenarios'!R24</x:f>
        <x:v>0.40625187619750297</x:v>
      </x:c>
      <x:c r="H12" s="36" t="n">
        <x:f>E12/C12</x:f>
        <x:v>34.290099999999995</x:v>
      </x:c>
      <x:c r="I12" s="36" t="n">
        <x:f>F12/C12</x:f>
        <x:v>20.35968254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n">
        <x:v>5</x:v>
      </x:c>
      <x:c r="D13" s="1" t="str">
        <x:v>Heavy</x:v>
      </x:c>
      <x:c r="E13" s="26" t="n">
        <x:f>'Scenarios'!J30</x:f>
        <x:v>465.89</x:v>
      </x:c>
      <x:c r="F13" s="26" t="n">
        <x:f>'Scenarios'!P30</x:f>
        <x:v>316.65305800000004</x:v>
      </x:c>
      <x:c r="G13" s="9" t="n">
        <x:f>'Scenarios'!R30</x:f>
        <x:v>0.3203265620640064</x:v>
      </x:c>
      <x:c r="H13" s="26" t="n">
        <x:f>E13/C13</x:f>
        <x:v>93.178</x:v>
      </x:c>
      <x:c r="I13" s="26" t="n">
        <x:f>F13/C13</x:f>
        <x:v>63.33061160000001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n">
        <x:v>10</x:v>
      </x:c>
      <x:c r="D14" s="1" t="str">
        <x:v>Light</x:v>
      </x:c>
      <x:c r="E14" s="26" t="n">
        <x:f>'Scenarios'!J19</x:f>
        <x:v>290</x:v>
      </x:c>
      <x:c r="F14" s="26" t="n">
        <x:f>'Scenarios'!P19</x:f>
        <x:v>85.74207288</x:v>
      </x:c>
      <x:c r="G14" s="9" t="n">
        <x:f>'Scenarios'!R19</x:f>
        <x:v>0.704337679724138</x:v>
      </x:c>
      <x:c r="H14" s="26" t="n">
        <x:f>E14/C14</x:f>
        <x:v>29</x:v>
      </x:c>
      <x:c r="I14" s="26" t="n">
        <x:f>F14/C14</x:f>
        <x:v>8.574207288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35" t="n">
        <x:v>10</x:v>
      </x:c>
      <x:c r="D15" s="35" t="str">
        <x:v>Typical</x:v>
      </x:c>
      <x:c r="E15" s="36" t="n">
        <x:f>'Scenarios'!J25</x:f>
        <x:v>342.90099999999995</x:v>
      </x:c>
      <x:c r="F15" s="36" t="n">
        <x:f>'Scenarios'!P25</x:f>
        <x:v>188.7968254</x:v>
      </x:c>
      <x:c r="G15" s="37" t="n">
        <x:f>'Scenarios'!R25</x:f>
        <x:v>0.4494130218342903</x:v>
      </x:c>
      <x:c r="H15" s="36" t="n">
        <x:f>E15/C15</x:f>
        <x:v>34.290099999999995</x:v>
      </x:c>
      <x:c r="I15" s="36" t="n">
        <x:f>F15/C15</x:f>
        <x:v>18.879682539999997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n">
        <x:v>10</x:v>
      </x:c>
      <x:c r="D16" s="1" t="str">
        <x:v>Heavy</x:v>
      </x:c>
      <x:c r="E16" s="26" t="n">
        <x:f>'Scenarios'!J31</x:f>
        <x:v>931.78</x:v>
      </x:c>
      <x:c r="F16" s="26" t="n">
        <x:f>'Scenarios'!P31</x:f>
        <x:v>618.506116</x:v>
      </x:c>
      <x:c r="G16" s="9" t="n">
        <x:f>'Scenarios'!R31</x:f>
        <x:v>0.33621013973255487</x:v>
      </x:c>
      <x:c r="H16" s="26" t="n">
        <x:f>E16/C16</x:f>
        <x:v>93.178</x:v>
      </x:c>
      <x:c r="I16" s="26" t="n">
        <x:f>F16/C16</x:f>
        <x:v>61.8506116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n">
        <x:v>20</x:v>
      </x:c>
      <x:c r="D17" s="1" t="str">
        <x:v>Light</x:v>
      </x:c>
      <x:c r="E17" s="26" t="n">
        <x:f>'Scenarios'!J20</x:f>
        <x:v>580</x:v>
      </x:c>
      <x:c r="F17" s="26" t="n">
        <x:f>'Scenarios'!P20</x:f>
        <x:v>156.68414576</x:v>
      </x:c>
      <x:c r="G17" s="9" t="n">
        <x:f>'Scenarios'!R20</x:f>
        <x:v>0.7298549211034483</x:v>
      </x:c>
      <x:c r="H17" s="26" t="n">
        <x:f>E17/C17</x:f>
        <x:v>29</x:v>
      </x:c>
      <x:c r="I17" s="26" t="n">
        <x:f>F17/C17</x:f>
        <x:v>7.834207288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35" t="n">
        <x:v>20</x:v>
      </x:c>
      <x:c r="D18" s="35" t="str">
        <x:v>Typical</x:v>
      </x:c>
      <x:c r="E18" s="36" t="n">
        <x:f>'Scenarios'!J26</x:f>
        <x:v>685.8019999999999</x:v>
      </x:c>
      <x:c r="F18" s="36" t="n">
        <x:f>'Scenarios'!P26</x:f>
        <x:v>362.7936508</x:v>
      </x:c>
      <x:c r="G18" s="37" t="n">
        <x:f>'Scenarios'!R26</x:f>
        <x:v>0.4709935946526839</x:v>
      </x:c>
      <x:c r="H18" s="36" t="n">
        <x:f>E18/C18</x:f>
        <x:v>34.290099999999995</x:v>
      </x:c>
      <x:c r="I18" s="36" t="n">
        <x:f>F18/C18</x:f>
        <x:v>18.139682540000003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 t="n">
        <x:v>20</x:v>
      </x:c>
      <x:c r="D19" s="1" t="str">
        <x:v>Heavy</x:v>
      </x:c>
      <x:c r="E19" s="26" t="n">
        <x:f>'Scenarios'!J32</x:f>
        <x:v>1863.56</x:v>
      </x:c>
      <x:c r="F19" s="26" t="n">
        <x:f>'Scenarios'!P32</x:f>
        <x:v>1222.212232</x:v>
      </x:c>
      <x:c r="G19" s="9" t="n">
        <x:f>'Scenarios'!R32</x:f>
        <x:v>0.344151928566829</x:v>
      </x:c>
      <x:c r="H19" s="26" t="n">
        <x:f>E19/C19</x:f>
        <x:v>93.178</x:v>
      </x:c>
      <x:c r="I19" s="26" t="n">
        <x:f>F19/C19</x:f>
        <x:v>61.110611600000006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 t="n">
        <x:v>50</x:v>
      </x:c>
      <x:c r="D20" s="1" t="str">
        <x:v>Light</x:v>
      </x:c>
      <x:c r="E20" s="26" t="n">
        <x:f>'Scenarios'!J21</x:f>
        <x:v>1450</x:v>
      </x:c>
      <x:c r="F20" s="26" t="n">
        <x:f>'Scenarios'!P21</x:f>
        <x:v>369.51036439999996</x:v>
      </x:c>
      <x:c r="G20" s="9" t="n">
        <x:f>'Scenarios'!R21</x:f>
        <x:v>0.7451652659310344</x:v>
      </x:c>
      <x:c r="H20" s="26" t="n">
        <x:f>E20/C20</x:f>
        <x:v>29</x:v>
      </x:c>
      <x:c r="I20" s="26" t="n">
        <x:f>F20/C20</x:f>
        <x:v>7.390207287999999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35" t="n">
        <x:v>50</x:v>
      </x:c>
      <x:c r="D21" s="35" t="str">
        <x:v>Typical</x:v>
      </x:c>
      <x:c r="E21" s="36" t="n">
        <x:f>'Scenarios'!J27</x:f>
        <x:v>1714.5049999999999</x:v>
      </x:c>
      <x:c r="F21" s="36" t="n">
        <x:f>'Scenarios'!P27</x:f>
        <x:v>884.7841270000001</x:v>
      </x:c>
      <x:c r="G21" s="37" t="n">
        <x:f>'Scenarios'!R27</x:f>
        <x:v>0.48394193834372007</x:v>
      </x:c>
      <x:c r="H21" s="36" t="n">
        <x:f>E21/C21</x:f>
        <x:v>34.290099999999995</x:v>
      </x:c>
      <x:c r="I21" s="36" t="n">
        <x:f>F21/C21</x:f>
        <x:v>17.695682540000004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 t="n">
        <x:v>50</x:v>
      </x:c>
      <x:c r="D22" s="1" t="str">
        <x:v>Heavy</x:v>
      </x:c>
      <x:c r="E22" s="26" t="n">
        <x:f>'Scenarios'!J33</x:f>
        <x:v>4658.9</x:v>
      </x:c>
      <x:c r="F22" s="26" t="n">
        <x:f>'Scenarios'!P33</x:f>
        <x:v>3033.3305800000003</x:v>
      </x:c>
      <x:c r="G22" s="9" t="n">
        <x:f>'Scenarios'!R33</x:f>
        <x:v>0.3489170018673935</x:v>
      </x:c>
      <x:c r="H22" s="26" t="n">
        <x:f>E22/C22</x:f>
        <x:v>93.178</x:v>
      </x:c>
      <x:c r="I22" s="26" t="n">
        <x:f>F22/C22</x:f>
        <x:v>60.6666116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 t="n">
        <x:v>100</x:v>
      </x:c>
      <x:c r="D23" s="1" t="str">
        <x:v>Light</x:v>
      </x:c>
      <x:c r="E23" s="26" t="n">
        <x:f>'Scenarios'!J22</x:f>
        <x:v>2900</x:v>
      </x:c>
      <x:c r="F23" s="26" t="n">
        <x:f>'Scenarios'!P22</x:f>
        <x:v>724.2207288</x:v>
      </x:c>
      <x:c r="G23" s="9" t="n">
        <x:f>'Scenarios'!R22</x:f>
        <x:v>0.7502687142068966</x:v>
      </x:c>
      <x:c r="H23" s="26" t="n">
        <x:f>E23/C23</x:f>
        <x:v>29</x:v>
      </x:c>
      <x:c r="I23" s="26" t="n">
        <x:f>F23/C23</x:f>
        <x:v>7.2422072879999995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35" t="n">
        <x:v>100</x:v>
      </x:c>
      <x:c r="D24" s="35" t="str">
        <x:v>Typical</x:v>
      </x:c>
      <x:c r="E24" s="36" t="n">
        <x:f>'Scenarios'!J28</x:f>
        <x:v>3429.0099999999998</x:v>
      </x:c>
      <x:c r="F24" s="36" t="n">
        <x:f>'Scenarios'!P28</x:f>
        <x:v>1754.768254</x:v>
      </x:c>
      <x:c r="G24" s="37" t="n">
        <x:f>'Scenarios'!R28</x:f>
        <x:v>0.4882580529073989</x:v>
      </x:c>
      <x:c r="H24" s="36" t="n">
        <x:f>E24/C24</x:f>
        <x:v>34.290099999999995</x:v>
      </x:c>
      <x:c r="I24" s="36" t="n">
        <x:f>F24/C24</x:f>
        <x:v>17.54768254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n">
        <x:v>100</x:v>
      </x:c>
      <x:c r="D25" s="1" t="str">
        <x:v>Heavy</x:v>
      </x:c>
      <x:c r="E25" s="26" t="n">
        <x:f>'Scenarios'!J34</x:f>
        <x:v>9317.8</x:v>
      </x:c>
      <x:c r="F25" s="26" t="n">
        <x:f>'Scenarios'!P34</x:f>
        <x:v>6051.86116</x:v>
      </x:c>
      <x:c r="G25" s="9" t="n">
        <x:f>'Scenarios'!R34</x:f>
        <x:v>0.35050535963424834</x:v>
      </x:c>
      <x:c r="H25" s="26" t="n">
        <x:f>E25/C25</x:f>
        <x:v>93.178</x:v>
      </x:c>
      <x:c r="I25" s="26" t="n">
        <x:f>F25/C25</x:f>
        <x:v>60.51861160000001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str">
        <x:v>Service cost includes vendor costs + 10% contingency, support, payment fees and fleet allocation.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str">
        <x:v>Excludes R&amp;D, sales, founder salaries, taxes and acquisition cost. These are estimates, not measured margins.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30" customHeight="1">
      <x:c r="A31" s="1"/>
      <x:c r="B31" s="1"/>
      <x:c r="C31" s="7" t="str">
        <x:v>10-member plan</x:v>
      </x:c>
      <x:c r="D31" s="7" t="str">
        <x:v>Typical bill</x:v>
      </x:c>
      <x:c r="E31" s="7" t="str">
        <x:v>Typical CM</x:v>
      </x:c>
      <x:c r="F31" s="7" t="str">
        <x:v>Heavy bill</x:v>
      </x:c>
      <x:c r="G31" s="7" t="str">
        <x:v>Heavy CM</x:v>
      </x:c>
      <x:c r="H31" s="7" t="str">
        <x:v>External typical</x:v>
      </x:c>
      <x:c r="I31" s="7" t="str">
        <x:v>Total typical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 t="str">
        <x:v>Managed</x:v>
      </x:c>
      <x:c r="D32" s="26" t="n">
        <x:f>'Scenarios'!J25</x:f>
        <x:v>342.90099999999995</x:v>
      </x:c>
      <x:c r="E32" s="9" t="n">
        <x:f>'Scenarios'!R25</x:f>
        <x:v>0.4494130218342903</x:v>
      </x:c>
      <x:c r="F32" s="26" t="n">
        <x:f>'Scenarios'!J31</x:f>
        <x:v>931.78</x:v>
      </x:c>
      <x:c r="G32" s="9" t="n">
        <x:f>'Scenarios'!R31</x:f>
        <x:v>0.33621013973255487</x:v>
      </x:c>
      <x:c r="H32" s="26" t="n">
        <x:f>'Scenarios'!S25</x:f>
        <x:v>0</x:v>
      </x:c>
      <x:c r="I32" s="26" t="n">
        <x:f>'Scenarios'!T25</x:f>
        <x:v>342.90099999999995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 t="str">
        <x:v>Legacy $20 / $20</x:v>
      </x:c>
      <x:c r="D33" s="26" t="n">
        <x:f>'Scenarios'!J43</x:f>
        <x:v>200</x:v>
      </x:c>
      <x:c r="E33" s="9" t="n">
        <x:f>'Scenarios'!R43</x:f>
        <x:v>0.08173805299999998</x:v>
      </x:c>
      <x:c r="F33" s="26" t="n">
        <x:f>'Scenarios'!J49</x:f>
        <x:v>383.94</x:v>
      </x:c>
      <x:c r="G33" s="9" t="n">
        <x:f>'Scenarios'!R49</x:f>
        <x:v>-0.5595766942751473</x:v>
      </x:c>
      <x:c r="H33" s="26" t="n">
        <x:f>'Scenarios'!S43</x:f>
        <x:v>0</x:v>
      </x:c>
      <x:c r="I33" s="26" t="n">
        <x:f>'Scenarios'!T43</x:f>
        <x:v>200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 t="str">
        <x:v>Flat $29 unlimited</x:v>
      </x:c>
      <x:c r="D34" s="26" t="n">
        <x:f>'Scenarios'!J61</x:f>
        <x:v>290</x:v>
      </x:c>
      <x:c r="E34" s="9" t="n">
        <x:f>'Scenarios'!R61</x:f>
        <x:v>0.3555434848275862</x:v>
      </x:c>
      <x:c r="F34" s="26" t="n">
        <x:f>'Scenarios'!J67</x:f>
        <x:v>290</x:v>
      </x:c>
      <x:c r="G34" s="9" t="n">
        <x:f>'Scenarios'!R67</x:f>
        <x:v>-1.0531104689655175</x:v>
      </x:c>
      <x:c r="H34" s="26" t="n">
        <x:f>'Scenarios'!S61</x:f>
        <x:v>0</x:v>
      </x:c>
      <x:c r="I34" s="26" t="n">
        <x:f>'Scenarios'!T61</x:f>
        <x:v>290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 t="str">
        <x:v>Seat + API at cost</x:v>
      </x:c>
      <x:c r="D35" s="26" t="n">
        <x:f>'Scenarios'!J79</x:f>
        <x:v>340.967</x:v>
      </x:c>
      <x:c r="E35" s="9" t="n">
        <x:f>'Scenarios'!R79</x:f>
        <x:v>0.44649423140655836</x:v>
      </x:c>
      <x:c r="F35" s="26" t="n">
        <x:f>'Scenarios'!J85</x:f>
        <x:v>606.74</x:v>
      </x:c>
      <x:c r="G35" s="9" t="n">
        <x:f>'Scenarios'!R85</x:f>
        <x:v>-0.00010659590598951245</x:v>
      </x:c>
      <x:c r="H35" s="26" t="n">
        <x:f>'Scenarios'!S79</x:f>
        <x:v>0</x:v>
      </x:c>
      <x:c r="I35" s="26" t="n">
        <x:f>'Scenarios'!T79</x:f>
        <x:v>340.967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 t="str">
        <x:v>Seat + API at 1.25x</x:v>
      </x:c>
      <x:c r="D36" s="26" t="n">
        <x:f>'Scenarios'!J97</x:f>
        <x:v>353.70875</x:v>
      </x:c>
      <x:c r="E36" s="9" t="n">
        <x:f>'Scenarios'!R97</x:f>
        <x:v>0.46513648757628984</x:v>
      </x:c>
      <x:c r="F36" s="26" t="n">
        <x:f>'Scenarios'!J103</x:f>
        <x:v>659.87</x:v>
      </x:c>
      <x:c r="G36" s="9" t="n">
        <x:f>'Scenarios'!R103</x:f>
        <x:v>0.07751927500871368</x:v>
      </x:c>
      <x:c r="H36" s="26" t="n">
        <x:f>'Scenarios'!S97</x:f>
        <x:v>0</x:v>
      </x:c>
      <x:c r="I36" s="26" t="n">
        <x:f>'Scenarios'!T97</x:f>
        <x:v>353.70875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 t="str">
        <x:v>BYO API key</x:v>
      </x:c>
      <x:c r="D37" s="26" t="n">
        <x:f>'Scenarios'!J115</x:f>
        <x:v>290</x:v>
      </x:c>
      <x:c r="E37" s="9" t="n">
        <x:f>'Scenarios'!R115</x:f>
        <x:v>0.5488665882758621</x:v>
      </x:c>
      <x:c r="F37" s="26" t="n">
        <x:f>'Scenarios'!J121</x:f>
        <x:v>394.22</x:v>
      </x:c>
      <x:c r="G37" s="9" t="n">
        <x:f>'Scenarios'!R121</x:f>
        <x:v>0.07315215869311543</x:v>
      </x:c>
      <x:c r="H37" s="26" t="n">
        <x:f>'Scenarios'!S115</x:f>
        <x:v>50.96699999999999</x:v>
      </x:c>
      <x:c r="I37" s="26" t="n">
        <x:f>'Scenarios'!T115</x:f>
        <x:v>340.967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 t="str">
        <x:v>BYO sub conditional</x:v>
      </x:c>
      <x:c r="D38" s="26" t="n">
        <x:f>'Scenarios'!J133</x:f>
        <x:v>290</x:v>
      </x:c>
      <x:c r="E38" s="9" t="n">
        <x:f>'Scenarios'!R133</x:f>
        <x:v>0.47153734689655163</x:v>
      </x:c>
      <x:c r="F38" s="26" t="n">
        <x:f>'Scenarios'!J139</x:f>
        <x:v>549.244</x:v>
      </x:c>
      <x:c r="G38" s="9" t="n">
        <x:f>'Scenarios'!R139</x:f>
        <x:v>0.15434375250344098</x:v>
      </x:c>
      <x:c r="H38" s="26" t="n">
        <x:f>'Scenarios'!S133</x:f>
        <x:v>200</x:v>
      </x:c>
      <x:c r="I38" s="26" t="n">
        <x:f>'Scenarios'!T133</x:f>
        <x:v>490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 t="str">
        <x:v>Workspace + seats</x:v>
      </x:c>
      <x:c r="D39" s="26" t="n">
        <x:f>'Scenarios'!J151</x:f>
        <x:v>306.90099999999995</x:v>
      </x:c>
      <x:c r="E39" s="9" t="n">
        <x:f>'Scenarios'!R151</x:f>
        <x:v>0.38905110964121975</x:v>
      </x:c>
      <x:c r="F39" s="26" t="n">
        <x:f>'Scenarios'!J157</x:f>
        <x:v>895.78</x:v>
      </x:c>
      <x:c r="G39" s="9" t="n">
        <x:f>'Scenarios'!R157</x:f>
        <x:v>0.31098024514947853</x:v>
      </x:c>
      <x:c r="H39" s="26" t="n">
        <x:f>'Scenarios'!S151</x:f>
        <x:v>0</x:v>
      </x:c>
      <x:c r="I39" s="26" t="n">
        <x:f>'Scenarios'!T151</x:f>
        <x:v>306.90099999999995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 t="str">
        <x:v>Same bundle $39</x:v>
      </x:c>
      <x:c r="D40" s="26" t="n">
        <x:f>'Scenarios'!J169</x:f>
        <x:v>442.90099999999995</x:v>
      </x:c>
      <x:c r="E40" s="9" t="n">
        <x:f>'Scenarios'!R169</x:f>
        <x:v>0.5655985753023812</x:v>
      </x:c>
      <x:c r="F40" s="26" t="n">
        <x:f>'Scenarios'!J175</x:f>
        <x:v>1031.78</x:v>
      </x:c>
      <x:c r="G40" s="9" t="n">
        <x:f>'Scenarios'!R175</x:f>
        <x:v>0.3970554614355773</x:v>
      </x:c>
      <x:c r="H40" s="26" t="n">
        <x:f>'Scenarios'!S169</x:f>
        <x:v>0</x:v>
      </x:c>
      <x:c r="I40" s="26" t="n">
        <x:f>'Scenarios'!T169</x:f>
        <x:v>442.90099999999995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 t="str">
        <x:v>BYOS needs an eligible provider integration; external $20/member is an assumption. Existing plans may be sunk cost; see report.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 t="str">
        <x:v>Blue/yellow cells are inputs. The $10 allowance pays AI only; searches, transcription and code storage never consume it.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  <x:drawing xmlns:r="http://schemas.openxmlformats.org/officeDocument/2006/relationships" r:id="Rb5a18bdef57c42a1"/>
</x:worksheet>
</file>

<file path=xl/worksheets/sheet2.xml><?xml version="1.0" encoding="utf-8"?>
<x:worksheet xmlns:x="http://schemas.openxmlformats.org/spreadsheetml/2006/main">
  <x:sheetPr>
    <x:tabColor rgb="FF54709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9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Inputs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Driver</x:v>
      </x:c>
      <x:c r="D5" s="7" t="str">
        <x:v>Value</x:v>
      </x:c>
      <x:c r="E5" s="7" t="str">
        <x:v>Unit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Managed seat price</x:v>
      </x:c>
      <x:c r="D6" s="16" t="n">
        <x:v>29</x:v>
      </x:c>
      <x:c r="E6" s="1" t="str">
        <x:v>$/paid member</x:v>
      </x:c>
      <x:c r="F6" s="1"/>
      <x:c r="G6" s="1" t="str">
        <x:v>PLAN</x:v>
      </x:c>
      <x:c r="H6" s="1" t="str">
        <x:v>Proposal; 3-seat minimum, all human members.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Pooled AI allowance</x:v>
      </x:c>
      <x:c r="D7" s="16" t="n">
        <x:v>10</x:v>
      </x:c>
      <x:c r="E7" s="1" t="str">
        <x:v>retail $/seat</x:v>
      </x:c>
      <x:c r="F7" s="1"/>
      <x:c r="G7" s="1" t="str">
        <x:v>PLAN</x:v>
      </x:c>
      <x:c r="H7" s="1" t="str">
        <x:v>AI inference only; expires monthly. Included tools and runtime allowances do not debit it.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AI and runtime overage multiplier</x:v>
      </x:c>
      <x:c r="D8" s="16" t="n">
        <x:v>3</x:v>
      </x:c>
      <x:c r="E8" s="1" t="str">
        <x:v>times vendor rate</x:v>
      </x:c>
      <x:c r="F8" s="1"/>
      <x:c r="G8" s="1" t="str">
        <x:v>PLAN</x:v>
      </x:c>
      <x:c r="H8" s="1" t="str">
        <x:v>Published rate card; no claim of API pass-through.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Minimum paid seats</x:v>
      </x:c>
      <x:c r="D9" s="16" t="n">
        <x:v>3</x:v>
      </x:c>
      <x:c r="E9" s="1" t="str">
        <x:v>members</x:v>
      </x:c>
      <x:c r="F9" s="1"/>
      <x:c r="G9" s="1" t="str">
        <x:v>PLAN</x:v>
      </x:c>
      <x:c r="H9" s="1" t="str">
        <x:v>Start with one paid team plan.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Active model index</x:v>
      </x:c>
      <x:c r="D10" s="16" t="n">
        <x:v>1</x:v>
      </x:c>
      <x:c r="E10" s="1" t="str">
        <x:v>1–8</x:v>
      </x:c>
      <x:c r="F10" s="1"/>
      <x:c r="G10" s="1" t="str">
        <x:v>PLAN</x:v>
      </x:c>
      <x:c r="H10" s="1" t="str">
        <x:v>1 Default mix, 2 DeepSeek, 3 promo, 4 Kimi, 5 GLM, 6 GPT, 7 Sonnet, 8 Opus.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Kimi share of token volume</x:v>
      </x:c>
      <x:c r="D11" s="17" t="n">
        <x:v>0.05</x:v>
      </x:c>
      <x:c r="E11" s="1" t="str">
        <x:v>%</x:v>
      </x:c>
      <x:c r="F11" s="1"/>
      <x:c r="G11" s="1" t="str">
        <x:v>PLAN</x:v>
      </x:c>
      <x:c r="H11" s="1" t="str">
        <x:v>Default mix only; uncertain, replace with observed token share.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Cached input share</x:v>
      </x:c>
      <x:c r="D12" s="17" t="n">
        <x:v>0.8</x:v>
      </x:c>
      <x:c r="E12" s="1" t="str">
        <x:v>%</x:v>
      </x:c>
      <x:c r="F12" s="1"/>
      <x:c r="G12" s="1" t="str">
        <x:v>PLAN</x:v>
      </x:c>
      <x:c r="H12" s="1" t="str">
        <x:v>Across complete monthly workload, not guaranteed per request.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Cache write input share</x:v>
      </x:c>
      <x:c r="D13" s="17" t="n">
        <x:v>0.1</x:v>
      </x:c>
      <x:c r="E13" s="1" t="str">
        <x:v>%</x:v>
      </x:c>
      <x:c r="F13" s="1"/>
      <x:c r="G13" s="1" t="str">
        <x:v>PLAN</x:v>
      </x:c>
      <x:c r="H13" s="1" t="str">
        <x:v>Part of total input, disjoint from cache reads; other input is 10%.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Input tokens per main run</x:v>
      </x:c>
      <x:c r="D14" s="16" t="n">
        <x:v>100000</x:v>
      </x:c>
      <x:c r="E14" s="1" t="str">
        <x:v>tokens</x:v>
      </x:c>
      <x:c r="F14" s="1"/>
      <x:c r="G14" s="1" t="str">
        <x:v>PLAN</x:v>
      </x:c>
      <x:c r="H14" s="1" t="str">
        <x:v>Cumulative across steps, including repeated context.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 t="str">
        <x:v>Output tokens per main run</x:v>
      </x:c>
      <x:c r="D15" s="16" t="n">
        <x:v>5000</x:v>
      </x:c>
      <x:c r="E15" s="1" t="str">
        <x:v>tokens</x:v>
      </x:c>
      <x:c r="F15" s="1"/>
      <x:c r="G15" s="1" t="str">
        <x:v>PLAN</x:v>
      </x:c>
      <x:c r="H15" s="1" t="str">
        <x:v>Includes reasoning tokens.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Input tokens per code session</x:v>
      </x:c>
      <x:c r="D16" s="16" t="n">
        <x:v>500000</x:v>
      </x:c>
      <x:c r="E16" s="1" t="str">
        <x:v>tokens</x:v>
      </x:c>
      <x:c r="F16" s="1"/>
      <x:c r="G16" s="1" t="str">
        <x:v>PLAN</x:v>
      </x:c>
      <x:c r="H16" s="1" t="str">
        <x:v>Incremental code workload; not also counted as a main run.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Output tokens per code session</x:v>
      </x:c>
      <x:c r="D17" s="16" t="n">
        <x:v>20000</x:v>
      </x:c>
      <x:c r="E17" s="1" t="str">
        <x:v>tokens</x:v>
      </x:c>
      <x:c r="F17" s="1"/>
      <x:c r="G17" s="1" t="str">
        <x:v>PLAN</x:v>
      </x:c>
      <x:c r="H17" s="1" t="str">
        <x:v>Includes reasoning tokens.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 t="str">
        <x:v>Browser input per hour</x:v>
      </x:c>
      <x:c r="D18" s="16" t="n">
        <x:v>2000000</x:v>
      </x:c>
      <x:c r="E18" s="1" t="str">
        <x:v>tokens/hour</x:v>
      </x:c>
      <x:c r="F18" s="1"/>
      <x:c r="G18" s="1" t="str">
        <x:v>PLAN</x:v>
      </x:c>
      <x:c r="H18" s="1" t="str">
        <x:v>200 steps × 10k input; exclude parent main run duplication.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 t="str">
        <x:v>Browser output per hour</x:v>
      </x:c>
      <x:c r="D19" s="16" t="n">
        <x:v>100000</x:v>
      </x:c>
      <x:c r="E19" s="1" t="str">
        <x:v>tokens/hour</x:v>
      </x:c>
      <x:c r="F19" s="1"/>
      <x:c r="G19" s="1" t="str">
        <x:v>PLAN</x:v>
      </x:c>
      <x:c r="H19" s="1" t="str">
        <x:v>Assumed 500 output tokens per step.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 t="str">
        <x:v>Small model input per run</x:v>
      </x:c>
      <x:c r="D20" s="16" t="n">
        <x:v>10000</x:v>
      </x:c>
      <x:c r="E20" s="1" t="str">
        <x:v>tokens</x:v>
      </x:c>
      <x:c r="F20" s="1"/>
      <x:c r="G20" s="1" t="str">
        <x:v>PLAN</x:v>
      </x:c>
      <x:c r="H20" s="1" t="str">
        <x:v>Routing, classification and other housekeeping.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1" t="str">
        <x:v>Small model output per run</x:v>
      </x:c>
      <x:c r="D21" s="16" t="n">
        <x:v>1000</x:v>
      </x:c>
      <x:c r="E21" s="1" t="str">
        <x:v>tokens</x:v>
      </x:c>
      <x:c r="F21" s="1"/>
      <x:c r="G21" s="1" t="str">
        <x:v>PLAN</x:v>
      </x:c>
      <x:c r="H21" s="1" t="str">
        <x:v>GLM 5.3 standard route.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 t="str">
        <x:v>Writeback share of main runs</x:v>
      </x:c>
      <x:c r="D22" s="17" t="n">
        <x:v>0.25</x:v>
      </x:c>
      <x:c r="E22" s="1" t="str">
        <x:v>%</x:v>
      </x:c>
      <x:c r="F22" s="1"/>
      <x:c r="G22" s="1" t="str">
        <x:v>PLAN</x:v>
      </x:c>
      <x:c r="H22" s="1" t="str">
        <x:v>Background cost uses default mix, even for premium direct runs.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 t="str">
        <x:v>Writeback input per event</x:v>
      </x:c>
      <x:c r="D23" s="16" t="n">
        <x:v>50000</x:v>
      </x:c>
      <x:c r="E23" s="1" t="str">
        <x:v>tokens</x:v>
      </x:c>
      <x:c r="F23" s="1"/>
      <x:c r="G23" s="1" t="str">
        <x:v>PLAN</x:v>
      </x:c>
      <x:c r="H23" s="1" t="str">
        <x:v>No customer debit.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str">
        <x:v>Writeback output per event</x:v>
      </x:c>
      <x:c r="D24" s="16" t="n">
        <x:v>2000</x:v>
      </x:c>
      <x:c r="E24" s="1" t="str">
        <x:v>tokens</x:v>
      </x:c>
      <x:c r="F24" s="1"/>
      <x:c r="G24" s="1" t="str">
        <x:v>PLAN</x:v>
      </x:c>
      <x:c r="H24" s="1" t="str">
        <x:v>No customer debit.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str">
        <x:v>Retrieval queries per main run</x:v>
      </x:c>
      <x:c r="D25" s="16" t="n">
        <x:v>2</x:v>
      </x:c>
      <x:c r="E25" s="1" t="str">
        <x:v>queries</x:v>
      </x:c>
      <x:c r="F25" s="1"/>
      <x:c r="G25" s="1" t="str">
        <x:v>PLAN</x:v>
      </x:c>
      <x:c r="H25" s="1" t="str">
        <x:v>Each rerank includes repeated query and document tokens.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 t="str">
        <x:v>Rerank tokens per query</x:v>
      </x:c>
      <x:c r="D26" s="16" t="n">
        <x:v>40000</x:v>
      </x:c>
      <x:c r="E26" s="1" t="str">
        <x:v>tokens</x:v>
      </x:c>
      <x:c r="F26" s="1"/>
      <x:c r="G26" s="1" t="str">
        <x:v>PLAN</x:v>
      </x:c>
      <x:c r="H26" s="1" t="str">
        <x:v>Assumption, excluding free tier.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str">
        <x:v>Rerank token rate</x:v>
      </x:c>
      <x:c r="D27" s="18" t="n">
        <x:v>0.05</x:v>
      </x:c>
      <x:c r="E27" s="1" t="str">
        <x:v>$/million</x:v>
      </x:c>
      <x:c r="F27" s="1"/>
      <x:c r="G27" s="1" t="str">
        <x:v>RERANK</x:v>
      </x:c>
      <x:c r="H27" s="1" t="str">
        <x:v>Voyage 2.5.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str">
        <x:v>Input per ingested source</x:v>
      </x:c>
      <x:c r="D28" s="16" t="n">
        <x:v>1500</x:v>
      </x:c>
      <x:c r="E28" s="1" t="str">
        <x:v>tokens</x:v>
      </x:c>
      <x:c r="F28" s="1"/>
      <x:c r="G28" s="1" t="str">
        <x:v>PLAN</x:v>
      </x:c>
      <x:c r="H28" s="1" t="str">
        <x:v>One ingestion pass; content hash prevents repeat work.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 t="str">
        <x:v>Output per ingested source</x:v>
      </x:c>
      <x:c r="D29" s="16" t="n">
        <x:v>250</x:v>
      </x:c>
      <x:c r="E29" s="1" t="str">
        <x:v>tokens</x:v>
      </x:c>
      <x:c r="F29" s="1"/>
      <x:c r="G29" s="1" t="str">
        <x:v>PLAN</x:v>
      </x:c>
      <x:c r="H29" s="1" t="str">
        <x:v>Small-model summary; not a large-model link on every item.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 t="str">
        <x:v>Embedding rate</x:v>
      </x:c>
      <x:c r="D30" s="18" t="n">
        <x:v>0.02</x:v>
      </x:c>
      <x:c r="E30" s="1" t="str">
        <x:v>$/million</x:v>
      </x:c>
      <x:c r="F30" s="1"/>
      <x:c r="G30" s="1" t="str">
        <x:v>EMBED</x:v>
      </x:c>
      <x:c r="H30" s="1" t="str">
        <x:v>Qwen3 4B.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 t="str">
        <x:v>Attachment vision fraction</x:v>
      </x:c>
      <x:c r="D31" s="17" t="n">
        <x:v>0.2</x:v>
      </x:c>
      <x:c r="E31" s="1" t="str">
        <x:v>% pages</x:v>
      </x:c>
      <x:c r="F31" s="1"/>
      <x:c r="G31" s="1" t="str">
        <x:v>PLAN</x:v>
      </x:c>
      <x:c r="H31" s="1" t="str">
        <x:v>Text pages use extraction; 20% use small-model vision.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 t="str">
        <x:v>Vision input per page</x:v>
      </x:c>
      <x:c r="D32" s="16" t="n">
        <x:v>1200</x:v>
      </x:c>
      <x:c r="E32" s="1" t="str">
        <x:v>tokens</x:v>
      </x:c>
      <x:c r="F32" s="1"/>
      <x:c r="G32" s="1" t="str">
        <x:v>PLAN</x:v>
      </x:c>
      <x:c r="H32" s="1" t="str">
        <x:v>Cost hypothesis; actual image resolution matters.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 t="str">
        <x:v>Vision output per page</x:v>
      </x:c>
      <x:c r="D33" s="16" t="n">
        <x:v>200</x:v>
      </x:c>
      <x:c r="E33" s="1" t="str">
        <x:v>tokens</x:v>
      </x:c>
      <x:c r="F33" s="1"/>
      <x:c r="G33" s="1" t="str">
        <x:v>PLAN</x:v>
      </x:c>
      <x:c r="H33" s="1" t="str">
        <x:v>Small-model output.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 t="str">
        <x:v>Index RAM per retained source</x:v>
      </x:c>
      <x:c r="D34" s="16" t="n">
        <x:v>16</x:v>
      </x:c>
      <x:c r="E34" s="1" t="str">
        <x:v>decimal KB</x:v>
      </x:c>
      <x:c r="F34" s="1"/>
      <x:c r="G34" s="1" t="str">
        <x:v>ARCH</x:v>
      </x:c>
      <x:c r="H34" s="1" t="str">
        <x:v>Context-engine estimate including vectors/graph; not measured.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 t="str">
        <x:v>Index disk per retained source</x:v>
      </x:c>
      <x:c r="D35" s="16" t="n">
        <x:v>32</x:v>
      </x:c>
      <x:c r="E35" s="1" t="str">
        <x:v>decimal KB</x:v>
      </x:c>
      <x:c r="F35" s="1"/>
      <x:c r="G35" s="1" t="str">
        <x:v>ARCH</x:v>
      </x:c>
      <x:c r="H35" s="1" t="str">
        <x:v>Excludes raw documents stored in R2.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 t="str">
        <x:v>Hours per storage month</x:v>
      </x:c>
      <x:c r="D36" s="16" t="n">
        <x:v>730</x:v>
      </x:c>
      <x:c r="E36" s="1" t="str">
        <x:v>hours</x:v>
      </x:c>
      <x:c r="F36" s="1"/>
      <x:c r="G36" s="1" t="str">
        <x:v>PLAN</x:v>
      </x:c>
      <x:c r="H36" s="1" t="str">
        <x:v>Calendar approximation.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 t="str">
        <x:v>Railway RAM rate</x:v>
      </x:c>
      <x:c r="D37" s="19" t="n">
        <x:v>0.00000386</x:v>
      </x:c>
      <x:c r="E37" s="1" t="str">
        <x:v>$/GB-second</x:v>
      </x:c>
      <x:c r="F37" s="1"/>
      <x:c r="G37" s="1" t="str">
        <x:v>RAILWAY</x:v>
      </x:c>
      <x:c r="H37" s="1" t="str">
        <x:v>Incremental index memory, separate from base services.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 t="str">
        <x:v>Railway disk rate</x:v>
      </x:c>
      <x:c r="D38" s="19" t="n">
        <x:v>6e-8</x:v>
      </x:c>
      <x:c r="E38" s="1" t="str">
        <x:v>$/GB-second</x:v>
      </x:c>
      <x:c r="F38" s="1"/>
      <x:c r="G38" s="1" t="str">
        <x:v>RAILWAY</x:v>
      </x:c>
      <x:c r="H38" s="1" t="str">
        <x:v>Incremental database volume.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 t="str">
        <x:v>Sandbox allocated memory</x:v>
      </x:c>
      <x:c r="D39" s="16" t="n">
        <x:v>4</x:v>
      </x:c>
      <x:c r="E39" s="1" t="str">
        <x:v>GB</x:v>
      </x:c>
      <x:c r="F39" s="1"/>
      <x:c r="G39" s="1" t="str">
        <x:v>ARCH</x:v>
      </x:c>
      <x:c r="H39" s="1" t="str">
        <x:v>Current default; bills during keepAlive/model waits.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 t="str">
        <x:v>Sandbox compute rate</x:v>
      </x:c>
      <x:c r="D40" s="19" t="n">
        <x:v>0.0000115</x:v>
      </x:c>
      <x:c r="E40" s="1" t="str">
        <x:v>$/GB-second</x:v>
      </x:c>
      <x:c r="F40" s="1"/>
      <x:c r="G40" s="1" t="str">
        <x:v>BLAXEL</x:v>
      </x:c>
      <x:c r="H40" s="1" t="str">
        <x:v>Suspended compute zero; retained data separately.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 t="str">
        <x:v>Browser blended rate</x:v>
      </x:c>
      <x:c r="D41" s="18" t="n">
        <x:v>0.198</x:v>
      </x:c>
      <x:c r="E41" s="1" t="str">
        <x:v>$/hour</x:v>
      </x:c>
      <x:c r="F41" s="1"/>
      <x:c r="G41" s="1" t="str">
        <x:v>BROWSER</x:v>
      </x:c>
      <x:c r="H41" s="1" t="str">
        <x:v>Conservative Startup 99 / 500h; overage cheaper; proxies excluded.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 t="str">
        <x:v>Browser fleet minimum</x:v>
      </x:c>
      <x:c r="D42" s="16" t="n">
        <x:v>99</x:v>
      </x:c>
      <x:c r="E42" s="1" t="str">
        <x:v>$/month</x:v>
      </x:c>
      <x:c r="F42" s="1"/>
      <x:c r="G42" s="1" t="str">
        <x:v>BROWSER</x:v>
      </x:c>
      <x:c r="H42" s="1" t="str">
        <x:v>Charge only shortfall versus fleet variable allocation.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 t="str">
        <x:v>Exa auto search</x:v>
      </x:c>
      <x:c r="D43" s="18" t="n">
        <x:v>0.007</x:v>
      </x:c>
      <x:c r="E43" s="1" t="str">
        <x:v>$/search</x:v>
      </x:c>
      <x:c r="F43" s="1"/>
      <x:c r="G43" s="1" t="str">
        <x:v>SEARCH</x:v>
      </x:c>
      <x:c r="H43" s="1" t="str">
        <x:v>Up to 10 results; larger result sets cost more.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 t="str">
        <x:v>Exa content retrieval</x:v>
      </x:c>
      <x:c r="D44" s="18" t="n">
        <x:v>0.001</x:v>
      </x:c>
      <x:c r="E44" s="1" t="str">
        <x:v>$/page</x:v>
      </x:c>
      <x:c r="F44" s="1"/>
      <x:c r="G44" s="1" t="str">
        <x:v>SEARCH</x:v>
      </x:c>
      <x:c r="H44" s="1" t="str">
        <x:v>Billable tool workload.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 t="str">
        <x:v>Code Storage hot</x:v>
      </x:c>
      <x:c r="D45" s="18" t="n">
        <x:v>0.005</x:v>
      </x:c>
      <x:c r="E45" s="1" t="str">
        <x:v>$/GB-hour</x:v>
      </x:c>
      <x:c r="F45" s="1"/>
      <x:c r="G45" s="1" t="str">
        <x:v>GIT</x:v>
      </x:c>
      <x:c r="H45" s="1" t="str">
        <x:v>Hot remains hot while accessed; 730h month.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 t="str">
        <x:v>Code Storage cold</x:v>
      </x:c>
      <x:c r="D46" s="19" t="n">
        <x:v>0.0002</x:v>
      </x:c>
      <x:c r="E46" s="1" t="str">
        <x:v>$/GB-hour</x:v>
      </x:c>
      <x:c r="F46" s="1"/>
      <x:c r="G46" s="1" t="str">
        <x:v>GIT</x:v>
      </x:c>
      <x:c r="H46" s="1" t="str">
        <x:v>Cold after 7 days untouched; not every branch a full copy.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 t="str">
        <x:v>Code Storage ingress</x:v>
      </x:c>
      <x:c r="D47" s="18" t="n">
        <x:v>0.06</x:v>
      </x:c>
      <x:c r="E47" s="1" t="str">
        <x:v>$/GB</x:v>
      </x:c>
      <x:c r="F47" s="1"/>
      <x:c r="G47" s="1" t="str">
        <x:v>GIT</x:v>
      </x:c>
      <x:c r="H47" s="1" t="str">
        <x:v>Transferred bytes.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 t="str">
        <x:v>Code Storage egress</x:v>
      </x:c>
      <x:c r="D48" s="18" t="n">
        <x:v>0.15</x:v>
      </x:c>
      <x:c r="E48" s="1" t="str">
        <x:v>$/GB</x:v>
      </x:c>
      <x:c r="F48" s="1"/>
      <x:c r="G48" s="1" t="str">
        <x:v>GIT</x:v>
      </x:c>
      <x:c r="H48" s="1" t="str">
        <x:v>Transferred bytes.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 t="str">
        <x:v>Code Storage fleet minimum</x:v>
      </x:c>
      <x:c r="D49" s="16" t="n">
        <x:v>20</x:v>
      </x:c>
      <x:c r="E49" s="1" t="str">
        <x:v>$/month</x:v>
      </x:c>
      <x:c r="F49" s="1"/>
      <x:c r="G49" s="1" t="str">
        <x:v>GIT</x:v>
      </x:c>
      <x:c r="H49" s="1" t="str">
        <x:v>Minimum spend, not additive to usage.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 t="str">
        <x:v>Blaxel snapshots</x:v>
      </x:c>
      <x:c r="D50" s="18" t="n">
        <x:v>0.2</x:v>
      </x:c>
      <x:c r="E50" s="1" t="str">
        <x:v>$/GB-month</x:v>
      </x:c>
      <x:c r="F50" s="1"/>
      <x:c r="G50" s="1" t="str">
        <x:v>BLAXEL</x:v>
      </x:c>
      <x:c r="H50" s="1" t="str">
        <x:v>Average retained GB, not peak process RAM.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 t="str">
        <x:v>Voice transcription</x:v>
      </x:c>
      <x:c r="D51" s="18" t="n">
        <x:v>0.009</x:v>
      </x:c>
      <x:c r="E51" s="1" t="str">
        <x:v>$/mic-minute</x:v>
      </x:c>
      <x:c r="F51" s="1"/>
      <x:c r="G51" s="1" t="str">
        <x:v>VOICE</x:v>
      </x:c>
      <x:c r="H51" s="1" t="str">
        <x:v>Regular Nova3 mono + keyterm; unmuted stream minutes.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 t="str">
        <x:v>R2 storage</x:v>
      </x:c>
      <x:c r="D52" s="18" t="n">
        <x:v>0.015</x:v>
      </x:c>
      <x:c r="E52" s="1" t="str">
        <x:v>$/GB-month</x:v>
      </x:c>
      <x:c r="F52" s="1"/>
      <x:c r="G52" s="1" t="str">
        <x:v>R2</x:v>
      </x:c>
      <x:c r="H52" s="1" t="str">
        <x:v>Ignore free grant; operations within core allowance.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 t="str">
        <x:v>Variable shared services</x:v>
      </x:c>
      <x:c r="D53" s="18" t="n">
        <x:v>0.75</x:v>
      </x:c>
      <x:c r="E53" s="1" t="str">
        <x:v>$/member</x:v>
      </x:c>
      <x:c r="F53" s="1"/>
      <x:c r="G53" s="1" t="str">
        <x:v>PLAN</x:v>
      </x:c>
      <x:c r="H53" s="1" t="str">
        <x:v>Hypothesis: API/worker CPU, realtime, queue, R2 ops and egress.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 t="str">
        <x:v>Vendor cost contingency</x:v>
      </x:c>
      <x:c r="D54" s="17" t="n">
        <x:v>0.1</x:v>
      </x:c>
      <x:c r="E54" s="1" t="str">
        <x:v>% vendor cost</x:v>
      </x:c>
      <x:c r="F54" s="1"/>
      <x:c r="G54" s="1" t="str">
        <x:v>PLAN</x:v>
      </x:c>
      <x:c r="H54" s="1" t="str">
        <x:v>Usage variance, small omitted charges; not a price multiplier.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 t="str">
        <x:v>Direct support allocation</x:v>
      </x:c>
      <x:c r="D55" s="18" t="n">
        <x:v>1.5</x:v>
      </x:c>
      <x:c r="E55" s="1" t="str">
        <x:v>$/member</x:v>
      </x:c>
      <x:c r="F55" s="1"/>
      <x:c r="G55" s="1" t="str">
        <x:v>PLAN</x:v>
      </x:c>
      <x:c r="H55" s="1" t="str">
        <x:v>Placeholder; excludes product engineering and sales.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 t="str">
        <x:v>Payment and Billing fees</x:v>
      </x:c>
      <x:c r="D56" s="17" t="n">
        <x:v>0.036</x:v>
      </x:c>
      <x:c r="E56" s="1" t="str">
        <x:v>% revenue</x:v>
      </x:c>
      <x:c r="F56" s="1"/>
      <x:c r="G56" s="1" t="str">
        <x:v>STRIPE + BILLING</x:v>
      </x:c>
      <x:c r="H56" s="1" t="str">
        <x:v>2.9% cards + 0.7% Billing; conservative for top-ups.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 t="str">
        <x:v>Fixed payment fee</x:v>
      </x:c>
      <x:c r="D57" s="18" t="n">
        <x:v>0.3</x:v>
      </x:c>
      <x:c r="E57" s="1" t="str">
        <x:v>$/invoice</x:v>
      </x:c>
      <x:c r="F57" s="1"/>
      <x:c r="G57" s="1" t="str">
        <x:v>STRIPE</x:v>
      </x:c>
      <x:c r="H57" s="1" t="str">
        <x:v>One combined monthly invoice assumed.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 t="str">
        <x:v>Base service and monitoring cost</x:v>
      </x:c>
      <x:c r="D58" s="16" t="n">
        <x:v>300</x:v>
      </x:c>
      <x:c r="E58" s="1" t="str">
        <x:v>$/fleet/month</x:v>
      </x:c>
      <x:c r="F58" s="1"/>
      <x:c r="G58" s="1" t="str">
        <x:v>PLAN</x:v>
      </x:c>
      <x:c r="H58" s="1" t="str">
        <x:v>Budget assumption, not an observed invoice; excludes variable index.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 t="str">
        <x:v>LiveKit fleet minimum</x:v>
      </x:c>
      <x:c r="D59" s="16" t="n">
        <x:v>50</x:v>
      </x:c>
      <x:c r="E59" s="1" t="str">
        <x:v>$/month</x:v>
      </x:c>
      <x:c r="F59" s="1"/>
      <x:c r="G59" s="1" t="str">
        <x:v>RTC</x:v>
      </x:c>
      <x:c r="H59" s="1" t="str">
        <x:v>Self-hosted transcriber; no hosted-agent inference fee.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 t="str">
        <x:v>Included RTC participant minutes</x:v>
      </x:c>
      <x:c r="D60" s="16" t="n">
        <x:v>150000</x:v>
      </x:c>
      <x:c r="E60" s="1" t="str">
        <x:v>minutes/fleet</x:v>
      </x:c>
      <x:c r="F60" s="1"/>
      <x:c r="G60" s="1" t="str">
        <x:v>RTC</x:v>
      </x:c>
      <x:c r="H60" s="1" t="str">
        <x:v>Count every human and bot connection.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 t="str">
        <x:v>RTC overage</x:v>
      </x:c>
      <x:c r="D61" s="19" t="n">
        <x:v>0.0005</x:v>
      </x:c>
      <x:c r="E61" s="1" t="str">
        <x:v>$/participant-minute</x:v>
      </x:c>
      <x:c r="F61" s="1"/>
      <x:c r="G61" s="1" t="str">
        <x:v>RTC</x:v>
      </x:c>
      <x:c r="H61" s="1" t="str">
        <x:v>Transfer overages require observed bandwidth.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 t="str">
        <x:v>RTC minutes per mic-minute</x:v>
      </x:c>
      <x:c r="D62" s="18" t="n">
        <x:v>2.5</x:v>
      </x:c>
      <x:c r="E62" s="1" t="str">
        <x:v>multiple</x:v>
      </x:c>
      <x:c r="F62" s="1"/>
      <x:c r="G62" s="1" t="str">
        <x:v>PLAN</x:v>
      </x:c>
      <x:c r="H62" s="1" t="str">
        <x:v>Assumes call duration 2× mic time and 25% bot participation.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 t="str">
        <x:v>Reference paying workspaces</x:v>
      </x:c>
      <x:c r="D63" s="16" t="n">
        <x:v>50</x:v>
      </x:c>
      <x:c r="E63" s="1" t="str">
        <x:v>workspaces</x:v>
      </x:c>
      <x:c r="F63" s="1"/>
      <x:c r="G63" s="1" t="str">
        <x:v>PLAN</x:v>
      </x:c>
      <x:c r="H63" s="1" t="str">
        <x:v>Shared fixed costs allocated equally across workspaces.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 t="str">
        <x:v>Reference seats per workspace</x:v>
      </x:c>
      <x:c r="D64" s="16" t="n">
        <x:v>10</x:v>
      </x:c>
      <x:c r="E64" s="1" t="str">
        <x:v>members</x:v>
      </x:c>
      <x:c r="F64" s="1"/>
      <x:c r="G64" s="1" t="str">
        <x:v>PLAN</x:v>
      </x:c>
      <x:c r="H64" s="1" t="str">
        <x:v>Fleet allocation uses the Typical workload and Managed plan.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 t="str">
        <x:v>Autumn free billing threshold</x:v>
      </x:c>
      <x:c r="D65" s="16" t="n">
        <x:v>8000</x:v>
      </x:c>
      <x:c r="E65" s="1" t="str">
        <x:v>$/fleet/month</x:v>
      </x:c>
      <x:c r="F65" s="1"/>
      <x:c r="G65" s="1" t="str">
        <x:v>AUTUMN</x:v>
      </x:c>
      <x:c r="H65" s="1" t="str">
        <x:v>Below this, fixed Autumn fee is zero.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 t="str">
        <x:v>Autumn Pro monthly fee</x:v>
      </x:c>
      <x:c r="D66" s="16" t="n">
        <x:v>375</x:v>
      </x:c>
      <x:c r="E66" s="1" t="str">
        <x:v>$/fleet/month</x:v>
      </x:c>
      <x:c r="F66" s="1"/>
      <x:c r="G66" s="1" t="str">
        <x:v>AUTUMN</x:v>
      </x:c>
      <x:c r="H66" s="1" t="str">
        <x:v>Valid through 50k monthly volume; above that needs quote.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 t="str">
        <x:v>Autumn quoted fee above 50k</x:v>
      </x:c>
      <x:c r="D67" s="16" t="n">
        <x:v>375</x:v>
      </x:c>
      <x:c r="E67" s="1" t="str">
        <x:v>$/fleet/month</x:v>
      </x:c>
      <x:c r="F67" s="1"/>
      <x:c r="G67" s="1" t="str">
        <x:v>PLAN</x:v>
      </x:c>
      <x:c r="H67" s="1" t="str">
        <x:v>UNQUOTED placeholder: margins above 50k are upper bounds.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 t="str">
        <x:v>BYOS eligible inference share</x:v>
      </x:c>
      <x:c r="D68" s="17" t="n">
        <x:v>0.6</x:v>
      </x:c>
      <x:c r="E68" s="1" t="str">
        <x:v>% user LLM cost</x:v>
      </x:c>
      <x:c r="F68" s="1"/>
      <x:c r="G68" s="1" t="str">
        <x:v>PLAN</x:v>
      </x:c>
      <x:c r="H68" s="1" t="str">
        <x:v>Avoided Lor expense hypothesis; eligible personal work can move to a different model; loops remain API.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 t="str">
        <x:v>External subscription spend</x:v>
      </x:c>
      <x:c r="D69" s="16" t="n">
        <x:v>20</x:v>
      </x:c>
      <x:c r="E69" s="1" t="str">
        <x:v>$/member/month</x:v>
      </x:c>
      <x:c r="F69" s="1"/>
      <x:c r="G69" s="1" t="str">
        <x:v>PLAN</x:v>
      </x:c>
      <x:c r="H69" s="1" t="str">
        <x:v>Illustrative budget, not a provider entitlement or quota guarantee.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 t="str">
        <x:v>Included sandbox GB-hours</x:v>
      </x:c>
      <x:c r="D70" s="16" t="n">
        <x:v>40</x:v>
      </x:c>
      <x:c r="E70" s="1" t="str">
        <x:v>GB-hours/seat</x:v>
      </x:c>
      <x:c r="F70" s="1"/>
      <x:c r="G70" s="1" t="str">
        <x:v>PLAN</x:v>
      </x:c>
      <x:c r="H70" s="1" t="str">
        <x:v>10 hours at 4 GB; pooled across paid seats. Larger instances consume the same GB-hour pool.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 t="str">
        <x:v>Included browser hours</x:v>
      </x:c>
      <x:c r="D71" s="16" t="n">
        <x:v>5</x:v>
      </x:c>
      <x:c r="E71" s="1" t="str">
        <x:v>hours/seat</x:v>
      </x:c>
      <x:c r="F71" s="1"/>
      <x:c r="G71" s="1" t="str">
        <x:v>PLAN</x:v>
      </x:c>
      <x:c r="H71" s="1" t="str">
        <x:v>Pooled monthly, separate from AI credits. Browser agent inference still uses AI credits.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 t="str">
        <x:v>Alternative bundle seat price</x:v>
      </x:c>
      <x:c r="D72" s="16" t="n">
        <x:v>39</x:v>
      </x:c>
      <x:c r="E72" s="1" t="str">
        <x:v>$/paid member</x:v>
      </x:c>
      <x:c r="F72" s="1"/>
      <x:c r="G72" s="1" t="str">
        <x:v>PLAN</x:v>
      </x:c>
      <x:c r="H72" s="1" t="str">
        <x:v>Comparison only; base case remains $29. Same inclusions and allowances.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dataValidations count="1">
    <x:dataValidation type="list" sqref="D10">
      <x:formula1>"1,2,3,4,5,6,7,8"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9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Workloads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Per paid member per month</x:v>
      </x:c>
      <x:c r="D5" s="7" t="str">
        <x:v>Light</x:v>
      </x:c>
      <x:c r="E5" s="7" t="str">
        <x:v>Typical</x:v>
      </x:c>
      <x:c r="F5" s="7" t="str">
        <x:v>Heavy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Main runs</x:v>
      </x:c>
      <x:c r="D6" s="22" t="n">
        <x:v>60</x:v>
      </x:c>
      <x:c r="E6" s="22" t="n">
        <x:v>150</x:v>
      </x:c>
      <x:c r="F6" s="22" t="n">
        <x:v>600</x:v>
      </x:c>
      <x:c r="G6" s="1"/>
      <x:c r="H6" s="1" t="str">
        <x:v>Cumulative tokens, not messages. Code and browser tokens separate.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Code sessions</x:v>
      </x:c>
      <x:c r="D7" s="22" t="n">
        <x:v>3</x:v>
      </x:c>
      <x:c r="E7" s="22" t="n">
        <x:v>10</x:v>
      </x:c>
      <x:c r="F7" s="22" t="n">
        <x:v>40</x:v>
      </x:c>
      <x:c r="G7" s="1"/>
      <x:c r="H7" s="1" t="str">
        <x:v>Incremental agent coding work; shared watchers do not multiply cost.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Sandbox active hours</x:v>
      </x:c>
      <x:c r="D8" s="22" t="n">
        <x:v>1</x:v>
      </x:c>
      <x:c r="E8" s="22" t="n">
        <x:v>5</x:v>
      </x:c>
      <x:c r="F8" s="22" t="n">
        <x:v>25</x:v>
      </x:c>
      <x:c r="G8" s="1"/>
      <x:c r="H8" s="1" t="str">
        <x:v>Includes waits while pinned active; parallel sessions add.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Browser hours</x:v>
      </x:c>
      <x:c r="D9" s="22" t="n">
        <x:v>0</x:v>
      </x:c>
      <x:c r="E9" s="22" t="n">
        <x:v>2</x:v>
      </x:c>
      <x:c r="F9" s="22" t="n">
        <x:v>10</x:v>
      </x:c>
      <x:c r="G9" s="1"/>
      <x:c r="H9" s="1" t="str">
        <x:v>Proxies and captcha solving off by default.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Exa auto searches</x:v>
      </x:c>
      <x:c r="D10" s="22" t="n">
        <x:v>30</x:v>
      </x:c>
      <x:c r="E10" s="22" t="n">
        <x:v>100</x:v>
      </x:c>
      <x:c r="F10" s="22" t="n">
        <x:v>400</x:v>
      </x:c>
      <x:c r="G10" s="1"/>
      <x:c r="H10" s="1" t="str">
        <x:v>Up to 10 results each.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Fetched pages</x:v>
      </x:c>
      <x:c r="D11" s="22" t="n">
        <x:v>90</x:v>
      </x:c>
      <x:c r="E11" s="22" t="n">
        <x:v>300</x:v>
      </x:c>
      <x:c r="F11" s="22" t="n">
        <x:v>1200</x:v>
      </x:c>
      <x:c r="G11" s="1"/>
      <x:c r="H11" s="1" t="str">
        <x:v>External content fetches.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New or changed source units</x:v>
      </x:c>
      <x:c r="D12" s="22" t="n">
        <x:v>250</x:v>
      </x:c>
      <x:c r="E12" s="22" t="n">
        <x:v>1000</x:v>
      </x:c>
      <x:c r="F12" s="22" t="n">
        <x:v>5000</x:v>
      </x:c>
      <x:c r="G12" s="1"/>
      <x:c r="H12" s="1" t="str">
        <x:v>Normalized chunks; one large document may be many units.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Retained indexed source units</x:v>
      </x:c>
      <x:c r="D13" s="22" t="n">
        <x:v>2000</x:v>
      </x:c>
      <x:c r="E13" s="22" t="n">
        <x:v>10000</x:v>
      </x:c>
      <x:c r="F13" s="22" t="n">
        <x:v>25000</x:v>
      </x:c>
      <x:c r="G13" s="1"/>
      <x:c r="H13" s="1" t="str">
        <x:v>RAM/disk capacity; heavy exceeds proposed self-serve guidance.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New attachment pages</x:v>
      </x:c>
      <x:c r="D14" s="22" t="n">
        <x:v>50</x:v>
      </x:c>
      <x:c r="E14" s="22" t="n">
        <x:v>200</x:v>
      </x:c>
      <x:c r="F14" s="22" t="n">
        <x:v>1000</x:v>
      </x:c>
      <x:c r="G14" s="1"/>
      <x:c r="H14" s="1" t="str">
        <x:v>Do not also count these as ingested sources.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 t="str">
        <x:v>Average R2 stored GB</x:v>
      </x:c>
      <x:c r="D15" s="22" t="n">
        <x:v>1</x:v>
      </x:c>
      <x:c r="E15" s="22" t="n">
        <x:v>2</x:v>
      </x:c>
      <x:c r="F15" s="22" t="n">
        <x:v>5</x:v>
      </x:c>
      <x:c r="G15" s="1"/>
      <x:c r="H15" s="1" t="str">
        <x:v>Files and artifacts.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Average hot code GB</x:v>
      </x:c>
      <x:c r="D16" s="23" t="n">
        <x:v>0</x:v>
      </x:c>
      <x:c r="E16" s="23" t="n">
        <x:v>0.25</x:v>
      </x:c>
      <x:c r="F16" s="23" t="n">
        <x:v>1</x:v>
      </x:c>
      <x:c r="G16" s="1"/>
      <x:c r="H16" s="1" t="str">
        <x:v>Allocated by unique bytes and retention, not full copy per branch.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Average cold code GB</x:v>
      </x:c>
      <x:c r="D17" s="23" t="n">
        <x:v>0</x:v>
      </x:c>
      <x:c r="E17" s="23" t="n">
        <x:v>0.5</x:v>
      </x:c>
      <x:c r="F17" s="23" t="n">
        <x:v>2</x:v>
      </x:c>
      <x:c r="G17" s="1"/>
      <x:c r="H17" s="1" t="str">
        <x:v>Cold eligibility requires 7 days untouched.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 t="str">
        <x:v>Code ingress GB</x:v>
      </x:c>
      <x:c r="D18" s="23" t="n">
        <x:v>0</x:v>
      </x:c>
      <x:c r="E18" s="23" t="n">
        <x:v>0.25</x:v>
      </x:c>
      <x:c r="F18" s="23" t="n">
        <x:v>1</x:v>
      </x:c>
      <x:c r="G18" s="1"/>
      <x:c r="H18" s="1" t="str">
        <x:v>Transferred bytes.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 t="str">
        <x:v>Code egress GB</x:v>
      </x:c>
      <x:c r="D19" s="22" t="n">
        <x:v>0</x:v>
      </x:c>
      <x:c r="E19" s="22" t="n">
        <x:v>1</x:v>
      </x:c>
      <x:c r="F19" s="22" t="n">
        <x:v>4</x:v>
      </x:c>
      <x:c r="G19" s="1"/>
      <x:c r="H19" s="1" t="str">
        <x:v>Clone/pull traffic.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 t="str">
        <x:v>Average snapshot GB</x:v>
      </x:c>
      <x:c r="D20" s="23" t="n">
        <x:v>0.5</x:v>
      </x:c>
      <x:c r="E20" s="23" t="n">
        <x:v>1</x:v>
      </x:c>
      <x:c r="F20" s="23" t="n">
        <x:v>4</x:v>
      </x:c>
      <x:c r="G20" s="1"/>
      <x:c r="H20" s="1" t="str">
        <x:v>Separate from Code Storage checkpoints and R2.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1" t="str">
        <x:v>Unmuted mic minutes</x:v>
      </x:c>
      <x:c r="D21" s="22" t="n">
        <x:v>30</x:v>
      </x:c>
      <x:c r="E21" s="22" t="n">
        <x:v>60</x:v>
      </x:c>
      <x:c r="F21" s="22" t="n">
        <x:v>180</x:v>
      </x:c>
      <x:c r="G21" s="1"/>
      <x:c r="H21" s="1" t="str">
        <x:v>Several unmuted microphones can be billed simultaneously.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str">
        <x:v>Light approximates current MVP use; Typical and Heavy include planned browser/code features.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str">
        <x:v>All workloads are assumptions. Team cost is linear in paid members at these averages; shared work can reduce it.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5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Model Rates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Model / route</x:v>
      </x:c>
      <x:c r="D5" s="7" t="str">
        <x:v>Fresh input</x:v>
      </x:c>
      <x:c r="E5" s="7" t="str">
        <x:v>Cache read</x:v>
      </x:c>
      <x:c r="F5" s="7" t="str">
        <x:v>Cache write</x:v>
      </x:c>
      <x:c r="G5" s="7" t="str">
        <x:v>Output</x:v>
      </x:c>
      <x:c r="H5" s="7" t="str">
        <x:v>Source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Default mix</x:v>
      </x:c>
      <x:c r="D6" s="24" t="n">
        <x:f>D7*(1-'Inputs'!$D$11)+D9*'Inputs'!$D$11</x:f>
        <x:v>0.435</x:v>
      </x:c>
      <x:c r="E6" s="24" t="n">
        <x:f>E7*(1-'Inputs'!$D$11)+E9*'Inputs'!$D$11</x:f>
        <x:v>0.0435</x:v>
      </x:c>
      <x:c r="F6" s="24" t="n">
        <x:f>F7*(1-'Inputs'!$D$11)+F9*'Inputs'!$D$11</x:f>
        <x:v>0.435</x:v>
      </x:c>
      <x:c r="G6" s="24" t="n">
        <x:f>G7*(1-'Inputs'!$D$11)+G9*'Inputs'!$D$11</x:f>
        <x:v>1.89</x:v>
      </x:c>
      <x:c r="H6" s="1" t="str">
        <x:v>95% stable DeepSeek + 5% Kimi; editable token mix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DeepSeek stable</x:v>
      </x:c>
      <x:c r="D7" s="25" t="n">
        <x:v>0.3</x:v>
      </x:c>
      <x:c r="E7" s="25" t="n">
        <x:v>0.03</x:v>
      </x:c>
      <x:c r="F7" s="25" t="n">
        <x:v>0.3</x:v>
      </x:c>
      <x:c r="G7" s="25" t="n">
        <x:v>1.2</x:v>
      </x:c>
      <x:c r="H7" s="1" t="str">
        <x:v>DEEPSEEK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DeepSeek promo</x:v>
      </x:c>
      <x:c r="D8" s="25" t="n">
        <x:v>0.14</x:v>
      </x:c>
      <x:c r="E8" s="25" t="n">
        <x:v>0.0042</x:v>
      </x:c>
      <x:c r="F8" s="25" t="n">
        <x:v>0.14</x:v>
      </x:c>
      <x:c r="G8" s="25" t="n">
        <x:v>0.42</x:v>
      </x:c>
      <x:c r="H8" s="1" t="str">
        <x:v>DEEPSEEK — temporary route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Kimi K3</x:v>
      </x:c>
      <x:c r="D9" s="25" t="n">
        <x:v>3</x:v>
      </x:c>
      <x:c r="E9" s="25" t="n">
        <x:v>0.3</x:v>
      </x:c>
      <x:c r="F9" s="25" t="n">
        <x:v>3</x:v>
      </x:c>
      <x:c r="G9" s="25" t="n">
        <x:v>15</x:v>
      </x:c>
      <x:c r="H9" s="1" t="str">
        <x:v>KIMI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GLM 5.3 Flash</x:v>
      </x:c>
      <x:c r="D10" s="25" t="n">
        <x:v>0.15</x:v>
      </x:c>
      <x:c r="E10" s="25" t="n">
        <x:v>0.03</x:v>
      </x:c>
      <x:c r="F10" s="25" t="n">
        <x:v>0.15</x:v>
      </x:c>
      <x:c r="G10" s="25" t="n">
        <x:v>0.5</x:v>
      </x:c>
      <x:c r="H10" s="1" t="str">
        <x:v>GLM — small model, no task-quality equivalence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GPT 6 Sol</x:v>
      </x:c>
      <x:c r="D11" s="25" t="n">
        <x:v>2</x:v>
      </x:c>
      <x:c r="E11" s="25" t="n">
        <x:v>0.2</x:v>
      </x:c>
      <x:c r="F11" s="25" t="n">
        <x:v>2.5</x:v>
      </x:c>
      <x:c r="G11" s="25" t="n">
        <x:v>10</x:v>
      </x:c>
      <x:c r="H11" s="1" t="str">
        <x:v>OPENAI — standard context, no priority premium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Claude Sonnet 5.5</x:v>
      </x:c>
      <x:c r="D12" s="25" t="n">
        <x:v>2</x:v>
      </x:c>
      <x:c r="E12" s="25" t="n">
        <x:v>0.1</x:v>
      </x:c>
      <x:c r="F12" s="25" t="n">
        <x:v>2.5</x:v>
      </x:c>
      <x:c r="G12" s="25" t="n">
        <x:v>10</x:v>
      </x:c>
      <x:c r="H12" s="1" t="str">
        <x:v>CLAUDE — 5 minute cache write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Claude Opus 5.5</x:v>
      </x:c>
      <x:c r="D13" s="25" t="n">
        <x:v>4</x:v>
      </x:c>
      <x:c r="E13" s="25" t="n">
        <x:v>0.2</x:v>
      </x:c>
      <x:c r="F13" s="25" t="n">
        <x:v>5</x:v>
      </x:c>
      <x:c r="G13" s="25" t="n">
        <x:v>20</x:v>
      </x:c>
      <x:c r="H13" s="1" t="str">
        <x:v>CLAUDE — 5 minute cache write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Rates: USD per million tokens. Equal token counts do not imply equal task quality or completion rates.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Input is disjoint: 80% cache reads, 10% cache writes, 10% fresh input. No long-context surcharges modeled.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30" customHeight="1">
      <x:c r="A20" s="1"/>
      <x:c r="B20" s="1"/>
      <x:c r="C20" s="7" t="str">
        <x:v>Identical token workload</x:v>
      </x:c>
      <x:c r="D20" s="7" t="str">
        <x:v>Run cost</x:v>
      </x:c>
      <x:c r="E20" s="7" t="str">
        <x:v>10-seat bill</x:v>
      </x:c>
      <x:c r="F20" s="7" t="str">
        <x:v>Typical CM</x:v>
      </x:c>
      <x:c r="G20" s="7" t="str">
        <x:v>Heavy bill</x:v>
      </x:c>
      <x:c r="H20" s="7" t="str">
        <x:v>Heavy CM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1" t="str">
        <x:f>C6</x:f>
        <x:v>Default mix</x:v>
      </x:c>
      <x:c r="D21" s="24" t="n">
        <x:f>('Inputs'!$D$14/1000000*((1-'Inputs'!$D$12-'Inputs'!$D$13)*'Model Rates'!$D$6+'Inputs'!$D$12*'Model Rates'!$E$6+'Inputs'!$D$13*'Model Rates'!$F$6)+'Inputs'!$D$15/1000000*'Model Rates'!$G$6)</x:f>
        <x:v>0.02163</x:v>
      </x:c>
      <x:c r="E21" s="26" t="n">
        <x:f>10*('Inputs'!$D$6+MAX(0,('Workloads'!E6*('Inputs'!$D$14/1000000*((1-'Inputs'!$D$12-'Inputs'!$D$13)*'Model Rates'!$D$6+'Inputs'!$D$12*'Model Rates'!$E$6+'Inputs'!$D$13*'Model Rates'!$F$6)+'Inputs'!$D$15/1000000*'Model Rates'!$G$6)+'Workloads'!E7*('Inputs'!$D$16/1000000*((1-'Inputs'!$D$12-'Inputs'!$D$13)*'Model Rates'!$D$6+'Inputs'!$D$12*'Model Rates'!$E$6+'Inputs'!$D$13*'Model Rates'!$F$6)+'Inputs'!$D$17/1000000*'Model Rates'!$G$6)+'Workloads'!E9*('Inputs'!$D$18/1000000*((1-'Inputs'!$D$12-'Inputs'!$D$13)*'Model Rates'!$D$6+'Inputs'!$D$12*'Model Rates'!$E$6+'Inputs'!$D$13*'Model Rates'!$F$6)+'Inputs'!$D$19/1000000*'Model Rates'!$G$6))*'Inputs'!$D$8-'Inputs'!$D$7)+'Cost Build'!E52)</x:f>
        <x:v>342.90099999999995</x:v>
      </x:c>
      <x:c r="F21" s="9" t="n">
        <x:f>1-(10*((('Workloads'!E6*('Inputs'!$D$14/1000000*((1-'Inputs'!$D$12-'Inputs'!$D$13)*'Model Rates'!$D$6+'Inputs'!$D$12*'Model Rates'!$E$6+'Inputs'!$D$13*'Model Rates'!$F$6)+'Inputs'!$D$15/1000000*'Model Rates'!$G$6)+'Workloads'!E7*('Inputs'!$D$16/1000000*((1-'Inputs'!$D$12-'Inputs'!$D$13)*'Model Rates'!$D$6+'Inputs'!$D$12*'Model Rates'!$E$6+'Inputs'!$D$13*'Model Rates'!$F$6)+'Inputs'!$D$17/1000000*'Model Rates'!$G$6)+'Workloads'!E9*('Inputs'!$D$18/1000000*((1-'Inputs'!$D$12-'Inputs'!$D$13)*'Model Rates'!$D$6+'Inputs'!$D$12*'Model Rates'!$E$6+'Inputs'!$D$13*'Model Rates'!$F$6)+'Inputs'!$D$19/1000000*'Model Rates'!$G$6))+'Cost Build'!E21+'Cost Build'!E33)*(1+'Inputs'!$D$54)+'Inputs'!$D$55)+'Fleet'!$D$17+E21*'Inputs'!$D$56+'Inputs'!$D$57)/E21</x:f>
        <x:v>0.4494130218342902</x:v>
      </x:c>
      <x:c r="G21" s="26" t="n">
        <x:f>10*('Inputs'!$D$6+MAX(0,('Workloads'!F6*('Inputs'!$D$14/1000000*((1-'Inputs'!$D$12-'Inputs'!$D$13)*'Model Rates'!$D$6+'Inputs'!$D$12*'Model Rates'!$E$6+'Inputs'!$D$13*'Model Rates'!$F$6)+'Inputs'!$D$15/1000000*'Model Rates'!$G$6)+'Workloads'!F7*('Inputs'!$D$16/1000000*((1-'Inputs'!$D$12-'Inputs'!$D$13)*'Model Rates'!$D$6+'Inputs'!$D$12*'Model Rates'!$E$6+'Inputs'!$D$13*'Model Rates'!$F$6)+'Inputs'!$D$17/1000000*'Model Rates'!$G$6)+'Workloads'!F9*('Inputs'!$D$18/1000000*((1-'Inputs'!$D$12-'Inputs'!$D$13)*'Model Rates'!$D$6+'Inputs'!$D$12*'Model Rates'!$E$6+'Inputs'!$D$13*'Model Rates'!$F$6)+'Inputs'!$D$19/1000000*'Model Rates'!$G$6))*'Inputs'!$D$8-'Inputs'!$D$7)+'Cost Build'!F52)</x:f>
        <x:v>931.78</x:v>
      </x:c>
      <x:c r="H21" s="9" t="n">
        <x:f>1-(10*((('Workloads'!F6*('Inputs'!$D$14/1000000*((1-'Inputs'!$D$12-'Inputs'!$D$13)*'Model Rates'!$D$6+'Inputs'!$D$12*'Model Rates'!$E$6+'Inputs'!$D$13*'Model Rates'!$F$6)+'Inputs'!$D$15/1000000*'Model Rates'!$G$6)+'Workloads'!F7*('Inputs'!$D$16/1000000*((1-'Inputs'!$D$12-'Inputs'!$D$13)*'Model Rates'!$D$6+'Inputs'!$D$12*'Model Rates'!$E$6+'Inputs'!$D$13*'Model Rates'!$F$6)+'Inputs'!$D$17/1000000*'Model Rates'!$G$6)+'Workloads'!F9*('Inputs'!$D$18/1000000*((1-'Inputs'!$D$12-'Inputs'!$D$13)*'Model Rates'!$D$6+'Inputs'!$D$12*'Model Rates'!$E$6+'Inputs'!$D$13*'Model Rates'!$F$6)+'Inputs'!$D$19/1000000*'Model Rates'!$G$6))+'Cost Build'!F21+'Cost Build'!F33)*(1+'Inputs'!$D$54)+'Inputs'!$D$55)+'Fleet'!$D$17+G21*'Inputs'!$D$56+'Inputs'!$D$57)/G21</x:f>
        <x:v>0.33621013973255487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 t="str">
        <x:f>C7</x:f>
        <x:v>DeepSeek stable</x:v>
      </x:c>
      <x:c r="D22" s="24" t="n">
        <x:f>('Inputs'!$D$14/1000000*((1-'Inputs'!$D$12-'Inputs'!$D$13)*'Model Rates'!$D$7+'Inputs'!$D$12*'Model Rates'!$E$7+'Inputs'!$D$13*'Model Rates'!$F$7)+'Inputs'!$D$15/1000000*'Model Rates'!$G$7)</x:f>
        <x:v>0.0144</x:v>
      </x:c>
      <x:c r="E22" s="26" t="n">
        <x:f>10*('Inputs'!$D$6+MAX(0,('Workloads'!E6*('Inputs'!$D$14/1000000*((1-'Inputs'!$D$12-'Inputs'!$D$13)*'Model Rates'!$D$7+'Inputs'!$D$12*'Model Rates'!$E$7+'Inputs'!$D$13*'Model Rates'!$F$7)+'Inputs'!$D$15/1000000*'Model Rates'!$G$7)+'Workloads'!E7*('Inputs'!$D$16/1000000*((1-'Inputs'!$D$12-'Inputs'!$D$13)*'Model Rates'!$D$7+'Inputs'!$D$12*'Model Rates'!$E$7+'Inputs'!$D$13*'Model Rates'!$F$7)+'Inputs'!$D$17/1000000*'Model Rates'!$G$7)+'Workloads'!E9*('Inputs'!$D$18/1000000*((1-'Inputs'!$D$12-'Inputs'!$D$13)*'Model Rates'!$D$7+'Inputs'!$D$12*'Model Rates'!$E$7+'Inputs'!$D$13*'Model Rates'!$F$7)+'Inputs'!$D$19/1000000*'Model Rates'!$G$7))*'Inputs'!$D$8-'Inputs'!$D$7)+'Cost Build'!E52)</x:f>
        <x:v>291.88</x:v>
      </x:c>
      <x:c r="F22" s="9" t="n">
        <x:f>1-(10*((('Workloads'!E6*('Inputs'!$D$14/1000000*((1-'Inputs'!$D$12-'Inputs'!$D$13)*'Model Rates'!$D$7+'Inputs'!$D$12*'Model Rates'!$E$7+'Inputs'!$D$13*'Model Rates'!$F$7)+'Inputs'!$D$15/1000000*'Model Rates'!$G$7)+'Workloads'!E7*('Inputs'!$D$16/1000000*((1-'Inputs'!$D$12-'Inputs'!$D$13)*'Model Rates'!$D$7+'Inputs'!$D$12*'Model Rates'!$E$7+'Inputs'!$D$13*'Model Rates'!$F$7)+'Inputs'!$D$17/1000000*'Model Rates'!$G$7)+'Workloads'!E9*('Inputs'!$D$18/1000000*((1-'Inputs'!$D$12-'Inputs'!$D$13)*'Model Rates'!$D$7+'Inputs'!$D$12*'Model Rates'!$E$7+'Inputs'!$D$13*'Model Rates'!$F$7)+'Inputs'!$D$19/1000000*'Model Rates'!$G$7))+'Cost Build'!E21+'Cost Build'!E33)*(1+'Inputs'!$D$54)+'Inputs'!$D$55)+'Fleet'!$D$17+E22*'Inputs'!$D$56+'Inputs'!$D$57)/E22</x:f>
        <x:v>0.423556360833219</x:v>
      </x:c>
      <x:c r="G22" s="26" t="n">
        <x:f>10*('Inputs'!$D$6+MAX(0,('Workloads'!F6*('Inputs'!$D$14/1000000*((1-'Inputs'!$D$12-'Inputs'!$D$13)*'Model Rates'!$D$7+'Inputs'!$D$12*'Model Rates'!$E$7+'Inputs'!$D$13*'Model Rates'!$F$7)+'Inputs'!$D$15/1000000*'Model Rates'!$G$7)+'Workloads'!F7*('Inputs'!$D$16/1000000*((1-'Inputs'!$D$12-'Inputs'!$D$13)*'Model Rates'!$D$7+'Inputs'!$D$12*'Model Rates'!$E$7+'Inputs'!$D$13*'Model Rates'!$F$7)+'Inputs'!$D$17/1000000*'Model Rates'!$G$7)+'Workloads'!F9*('Inputs'!$D$18/1000000*((1-'Inputs'!$D$12-'Inputs'!$D$13)*'Model Rates'!$D$7+'Inputs'!$D$12*'Model Rates'!$E$7+'Inputs'!$D$13*'Model Rates'!$F$7)+'Inputs'!$D$19/1000000*'Model Rates'!$G$7))*'Inputs'!$D$8-'Inputs'!$D$7)+'Cost Build'!F52)</x:f>
        <x:v>719.02</x:v>
      </x:c>
      <x:c r="H22" s="9" t="n">
        <x:f>1-(10*((('Workloads'!F6*('Inputs'!$D$14/1000000*((1-'Inputs'!$D$12-'Inputs'!$D$13)*'Model Rates'!$D$7+'Inputs'!$D$12*'Model Rates'!$E$7+'Inputs'!$D$13*'Model Rates'!$F$7)+'Inputs'!$D$15/1000000*'Model Rates'!$G$7)+'Workloads'!F7*('Inputs'!$D$16/1000000*((1-'Inputs'!$D$12-'Inputs'!$D$13)*'Model Rates'!$D$7+'Inputs'!$D$12*'Model Rates'!$E$7+'Inputs'!$D$13*'Model Rates'!$F$7)+'Inputs'!$D$17/1000000*'Model Rates'!$G$7)+'Workloads'!F9*('Inputs'!$D$18/1000000*((1-'Inputs'!$D$12-'Inputs'!$D$13)*'Model Rates'!$D$7+'Inputs'!$D$12*'Model Rates'!$E$7+'Inputs'!$D$13*'Model Rates'!$F$7)+'Inputs'!$D$19/1000000*'Model Rates'!$G$7))+'Cost Build'!F21+'Cost Build'!F33)*(1+'Inputs'!$D$54)+'Inputs'!$D$55)+'Fleet'!$D$17+G22*'Inputs'!$D$56+'Inputs'!$D$57)/G22</x:f>
        <x:v>0.25894306695224056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 t="str">
        <x:f>C8</x:f>
        <x:v>DeepSeek promo</x:v>
      </x:c>
      <x:c r="D23" s="24" t="n">
        <x:f>('Inputs'!$D$14/1000000*((1-'Inputs'!$D$12-'Inputs'!$D$13)*'Model Rates'!$D$8+'Inputs'!$D$12*'Model Rates'!$E$8+'Inputs'!$D$13*'Model Rates'!$F$8)+'Inputs'!$D$15/1000000*'Model Rates'!$G$8)</x:f>
        <x:v>0.005235999999999999</x:v>
      </x:c>
      <x:c r="E23" s="26" t="n">
        <x:f>10*('Inputs'!$D$6+MAX(0,('Workloads'!E6*('Inputs'!$D$14/1000000*((1-'Inputs'!$D$12-'Inputs'!$D$13)*'Model Rates'!$D$8+'Inputs'!$D$12*'Model Rates'!$E$8+'Inputs'!$D$13*'Model Rates'!$F$8)+'Inputs'!$D$15/1000000*'Model Rates'!$G$8)+'Workloads'!E7*('Inputs'!$D$16/1000000*((1-'Inputs'!$D$12-'Inputs'!$D$13)*'Model Rates'!$D$8+'Inputs'!$D$12*'Model Rates'!$E$8+'Inputs'!$D$13*'Model Rates'!$F$8)+'Inputs'!$D$17/1000000*'Model Rates'!$G$8)+'Workloads'!E9*('Inputs'!$D$18/1000000*((1-'Inputs'!$D$12-'Inputs'!$D$13)*'Model Rates'!$D$8+'Inputs'!$D$12*'Model Rates'!$E$8+'Inputs'!$D$13*'Model Rates'!$F$8)+'Inputs'!$D$19/1000000*'Model Rates'!$G$8))*'Inputs'!$D$8-'Inputs'!$D$7)+'Cost Build'!E52)</x:f>
        <x:v>290</x:v>
      </x:c>
      <x:c r="F23" s="9" t="n">
        <x:f>1-(10*((('Workloads'!E6*('Inputs'!$D$14/1000000*((1-'Inputs'!$D$12-'Inputs'!$D$13)*'Model Rates'!$D$8+'Inputs'!$D$12*'Model Rates'!$E$8+'Inputs'!$D$13*'Model Rates'!$F$8)+'Inputs'!$D$15/1000000*'Model Rates'!$G$8)+'Workloads'!E7*('Inputs'!$D$16/1000000*((1-'Inputs'!$D$12-'Inputs'!$D$13)*'Model Rates'!$D$8+'Inputs'!$D$12*'Model Rates'!$E$8+'Inputs'!$D$13*'Model Rates'!$F$8)+'Inputs'!$D$17/1000000*'Model Rates'!$G$8)+'Workloads'!E9*('Inputs'!$D$18/1000000*((1-'Inputs'!$D$12-'Inputs'!$D$13)*'Model Rates'!$D$8+'Inputs'!$D$12*'Model Rates'!$E$8+'Inputs'!$D$13*'Model Rates'!$F$8)+'Inputs'!$D$19/1000000*'Model Rates'!$G$8))+'Cost Build'!E21+'Cost Build'!E33)*(1+'Inputs'!$D$54)+'Inputs'!$D$55)+'Fleet'!$D$17+E23*'Inputs'!$D$56+'Inputs'!$D$57)/E23</x:f>
        <x:v>0.5019974848275861</x:v>
      </x:c>
      <x:c r="G23" s="26" t="n">
        <x:f>10*('Inputs'!$D$6+MAX(0,('Workloads'!F6*('Inputs'!$D$14/1000000*((1-'Inputs'!$D$12-'Inputs'!$D$13)*'Model Rates'!$D$8+'Inputs'!$D$12*'Model Rates'!$E$8+'Inputs'!$D$13*'Model Rates'!$F$8)+'Inputs'!$D$15/1000000*'Model Rates'!$G$8)+'Workloads'!F7*('Inputs'!$D$16/1000000*((1-'Inputs'!$D$12-'Inputs'!$D$13)*'Model Rates'!$D$8+'Inputs'!$D$12*'Model Rates'!$E$8+'Inputs'!$D$13*'Model Rates'!$F$8)+'Inputs'!$D$17/1000000*'Model Rates'!$G$8)+'Workloads'!F9*('Inputs'!$D$18/1000000*((1-'Inputs'!$D$12-'Inputs'!$D$13)*'Model Rates'!$D$8+'Inputs'!$D$12*'Model Rates'!$E$8+'Inputs'!$D$13*'Model Rates'!$F$8)+'Inputs'!$D$19/1000000*'Model Rates'!$G$8))*'Inputs'!$D$8-'Inputs'!$D$7)+'Cost Build'!F52)</x:f>
        <x:v>448.78</x:v>
      </x:c>
      <x:c r="H23" s="9" t="n">
        <x:f>1-(10*((('Workloads'!F6*('Inputs'!$D$14/1000000*((1-'Inputs'!$D$12-'Inputs'!$D$13)*'Model Rates'!$D$8+'Inputs'!$D$12*'Model Rates'!$E$8+'Inputs'!$D$13*'Model Rates'!$F$8)+'Inputs'!$D$15/1000000*'Model Rates'!$G$8)+'Workloads'!F7*('Inputs'!$D$16/1000000*((1-'Inputs'!$D$12-'Inputs'!$D$13)*'Model Rates'!$D$8+'Inputs'!$D$12*'Model Rates'!$E$8+'Inputs'!$D$13*'Model Rates'!$F$8)+'Inputs'!$D$17/1000000*'Model Rates'!$G$8)+'Workloads'!F9*('Inputs'!$D$18/1000000*((1-'Inputs'!$D$12-'Inputs'!$D$13)*'Model Rates'!$D$8+'Inputs'!$D$12*'Model Rates'!$E$8+'Inputs'!$D$13*'Model Rates'!$F$8)+'Inputs'!$D$19/1000000*'Model Rates'!$G$8))+'Cost Build'!F21+'Cost Build'!F33)*(1+'Inputs'!$D$54)+'Inputs'!$D$55)+'Fleet'!$D$17+G23*'Inputs'!$D$56+'Inputs'!$D$57)/G23</x:f>
        <x:v>0.05517599714782284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str">
        <x:f>C9</x:f>
        <x:v>Kimi K3</x:v>
      </x:c>
      <x:c r="D24" s="24" t="n">
        <x:f>('Inputs'!$D$14/1000000*((1-'Inputs'!$D$12-'Inputs'!$D$13)*'Model Rates'!$D$9+'Inputs'!$D$12*'Model Rates'!$E$9+'Inputs'!$D$13*'Model Rates'!$F$9)+'Inputs'!$D$15/1000000*'Model Rates'!$G$9)</x:f>
        <x:v>0.15899999999999997</x:v>
      </x:c>
      <x:c r="E24" s="26" t="n">
        <x:f>10*('Inputs'!$D$6+MAX(0,('Workloads'!E6*('Inputs'!$D$14/1000000*((1-'Inputs'!$D$12-'Inputs'!$D$13)*'Model Rates'!$D$9+'Inputs'!$D$12*'Model Rates'!$E$9+'Inputs'!$D$13*'Model Rates'!$F$9)+'Inputs'!$D$15/1000000*'Model Rates'!$G$9)+'Workloads'!E7*('Inputs'!$D$16/1000000*((1-'Inputs'!$D$12-'Inputs'!$D$13)*'Model Rates'!$D$9+'Inputs'!$D$12*'Model Rates'!$E$9+'Inputs'!$D$13*'Model Rates'!$F$9)+'Inputs'!$D$17/1000000*'Model Rates'!$G$9)+'Workloads'!E9*('Inputs'!$D$18/1000000*((1-'Inputs'!$D$12-'Inputs'!$D$13)*'Model Rates'!$D$9+'Inputs'!$D$12*'Model Rates'!$E$9+'Inputs'!$D$13*'Model Rates'!$F$9)+'Inputs'!$D$19/1000000*'Model Rates'!$G$9))*'Inputs'!$D$8-'Inputs'!$D$7)+'Cost Build'!E52)</x:f>
        <x:v>1312.3</x:v>
      </x:c>
      <x:c r="F24" s="9" t="n">
        <x:f>1-(10*((('Workloads'!E6*('Inputs'!$D$14/1000000*((1-'Inputs'!$D$12-'Inputs'!$D$13)*'Model Rates'!$D$9+'Inputs'!$D$12*'Model Rates'!$E$9+'Inputs'!$D$13*'Model Rates'!$F$9)+'Inputs'!$D$15/1000000*'Model Rates'!$G$9)+'Workloads'!E7*('Inputs'!$D$16/1000000*((1-'Inputs'!$D$12-'Inputs'!$D$13)*'Model Rates'!$D$9+'Inputs'!$D$12*'Model Rates'!$E$9+'Inputs'!$D$13*'Model Rates'!$F$9)+'Inputs'!$D$17/1000000*'Model Rates'!$G$9)+'Workloads'!E9*('Inputs'!$D$18/1000000*((1-'Inputs'!$D$12-'Inputs'!$D$13)*'Model Rates'!$D$9+'Inputs'!$D$12*'Model Rates'!$E$9+'Inputs'!$D$13*'Model Rates'!$F$9)+'Inputs'!$D$19/1000000*'Model Rates'!$G$9))+'Cost Build'!E21+'Cost Build'!E33)*(1+'Inputs'!$D$54)+'Inputs'!$D$55)+'Fleet'!$D$17+E24*'Inputs'!$D$56+'Inputs'!$D$57)/E24</x:f>
        <x:v>0.5586820929665473</x:v>
      </x:c>
      <x:c r="G24" s="26" t="n">
        <x:f>10*('Inputs'!$D$6+MAX(0,('Workloads'!F6*('Inputs'!$D$14/1000000*((1-'Inputs'!$D$12-'Inputs'!$D$13)*'Model Rates'!$D$9+'Inputs'!$D$12*'Model Rates'!$E$9+'Inputs'!$D$13*'Model Rates'!$F$9)+'Inputs'!$D$15/1000000*'Model Rates'!$G$9)+'Workloads'!F7*('Inputs'!$D$16/1000000*((1-'Inputs'!$D$12-'Inputs'!$D$13)*'Model Rates'!$D$9+'Inputs'!$D$12*'Model Rates'!$E$9+'Inputs'!$D$13*'Model Rates'!$F$9)+'Inputs'!$D$17/1000000*'Model Rates'!$G$9)+'Workloads'!F9*('Inputs'!$D$18/1000000*((1-'Inputs'!$D$12-'Inputs'!$D$13)*'Model Rates'!$D$9+'Inputs'!$D$12*'Model Rates'!$E$9+'Inputs'!$D$13*'Model Rates'!$F$9)+'Inputs'!$D$19/1000000*'Model Rates'!$G$9))*'Inputs'!$D$8-'Inputs'!$D$7)+'Cost Build'!F52)</x:f>
        <x:v>4974.22</x:v>
      </x:c>
      <x:c r="H24" s="9" t="n">
        <x:f>1-(10*((('Workloads'!F6*('Inputs'!$D$14/1000000*((1-'Inputs'!$D$12-'Inputs'!$D$13)*'Model Rates'!$D$9+'Inputs'!$D$12*'Model Rates'!$E$9+'Inputs'!$D$13*'Model Rates'!$F$9)+'Inputs'!$D$15/1000000*'Model Rates'!$G$9)+'Workloads'!F7*('Inputs'!$D$16/1000000*((1-'Inputs'!$D$12-'Inputs'!$D$13)*'Model Rates'!$D$9+'Inputs'!$D$12*'Model Rates'!$E$9+'Inputs'!$D$13*'Model Rates'!$F$9)+'Inputs'!$D$17/1000000*'Model Rates'!$G$9)+'Workloads'!F9*('Inputs'!$D$18/1000000*((1-'Inputs'!$D$12-'Inputs'!$D$13)*'Model Rates'!$D$9+'Inputs'!$D$12*'Model Rates'!$E$9+'Inputs'!$D$13*'Model Rates'!$F$9)+'Inputs'!$D$19/1000000*'Model Rates'!$G$9))+'Cost Build'!F21+'Cost Build'!F33)*(1+'Inputs'!$D$54)+'Inputs'!$D$55)+'Fleet'!$D$17+G24*'Inputs'!$D$56+'Inputs'!$D$57)/G24</x:f>
        <x:v>0.5484192584968095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str">
        <x:f>C10</x:f>
        <x:v>GLM 5.3 Flash</x:v>
      </x:c>
      <x:c r="D25" s="24" t="n">
        <x:f>('Inputs'!$D$14/1000000*((1-'Inputs'!$D$12-'Inputs'!$D$13)*'Model Rates'!$D$10+'Inputs'!$D$12*'Model Rates'!$E$10+'Inputs'!$D$13*'Model Rates'!$F$10)+'Inputs'!$D$15/1000000*'Model Rates'!$G$10)</x:f>
        <x:v>0.007899999999999999</x:v>
      </x:c>
      <x:c r="E25" s="26" t="n">
        <x:f>10*('Inputs'!$D$6+MAX(0,('Workloads'!E6*('Inputs'!$D$14/1000000*((1-'Inputs'!$D$12-'Inputs'!$D$13)*'Model Rates'!$D$10+'Inputs'!$D$12*'Model Rates'!$E$10+'Inputs'!$D$13*'Model Rates'!$F$10)+'Inputs'!$D$15/1000000*'Model Rates'!$G$10)+'Workloads'!E7*('Inputs'!$D$16/1000000*((1-'Inputs'!$D$12-'Inputs'!$D$13)*'Model Rates'!$D$10+'Inputs'!$D$12*'Model Rates'!$E$10+'Inputs'!$D$13*'Model Rates'!$F$10)+'Inputs'!$D$17/1000000*'Model Rates'!$G$10)+'Workloads'!E9*('Inputs'!$D$18/1000000*((1-'Inputs'!$D$12-'Inputs'!$D$13)*'Model Rates'!$D$10+'Inputs'!$D$12*'Model Rates'!$E$10+'Inputs'!$D$13*'Model Rates'!$F$10)+'Inputs'!$D$19/1000000*'Model Rates'!$G$10))*'Inputs'!$D$8-'Inputs'!$D$7)+'Cost Build'!E52)</x:f>
        <x:v>290</x:v>
      </x:c>
      <x:c r="F25" s="9" t="n">
        <x:f>1-(10*((('Workloads'!E6*('Inputs'!$D$14/1000000*((1-'Inputs'!$D$12-'Inputs'!$D$13)*'Model Rates'!$D$10+'Inputs'!$D$12*'Model Rates'!$E$10+'Inputs'!$D$13*'Model Rates'!$F$10)+'Inputs'!$D$15/1000000*'Model Rates'!$G$10)+'Workloads'!E7*('Inputs'!$D$16/1000000*((1-'Inputs'!$D$12-'Inputs'!$D$13)*'Model Rates'!$D$10+'Inputs'!$D$12*'Model Rates'!$E$10+'Inputs'!$D$13*'Model Rates'!$F$10)+'Inputs'!$D$17/1000000*'Model Rates'!$G$10)+'Workloads'!E9*('Inputs'!$D$18/1000000*((1-'Inputs'!$D$12-'Inputs'!$D$13)*'Model Rates'!$D$10+'Inputs'!$D$12*'Model Rates'!$E$10+'Inputs'!$D$13*'Model Rates'!$F$10)+'Inputs'!$D$19/1000000*'Model Rates'!$G$10))+'Cost Build'!E21+'Cost Build'!E33)*(1+'Inputs'!$D$54)+'Inputs'!$D$55)+'Fleet'!$D$17+E25*'Inputs'!$D$56+'Inputs'!$D$57)/E25</x:f>
        <x:v>0.4778976227586207</x:v>
      </x:c>
      <x:c r="G25" s="26" t="n">
        <x:f>10*('Inputs'!$D$6+MAX(0,('Workloads'!F6*('Inputs'!$D$14/1000000*((1-'Inputs'!$D$12-'Inputs'!$D$13)*'Model Rates'!$D$10+'Inputs'!$D$12*'Model Rates'!$E$10+'Inputs'!$D$13*'Model Rates'!$F$10)+'Inputs'!$D$15/1000000*'Model Rates'!$G$10)+'Workloads'!F7*('Inputs'!$D$16/1000000*((1-'Inputs'!$D$12-'Inputs'!$D$13)*'Model Rates'!$D$10+'Inputs'!$D$12*'Model Rates'!$E$10+'Inputs'!$D$13*'Model Rates'!$F$10)+'Inputs'!$D$17/1000000*'Model Rates'!$G$10)+'Workloads'!F9*('Inputs'!$D$18/1000000*((1-'Inputs'!$D$12-'Inputs'!$D$13)*'Model Rates'!$D$10+'Inputs'!$D$12*'Model Rates'!$E$10+'Inputs'!$D$13*'Model Rates'!$F$10)+'Inputs'!$D$19/1000000*'Model Rates'!$G$10))*'Inputs'!$D$8-'Inputs'!$D$7)+'Cost Build'!F52)</x:f>
        <x:v>528.22</x:v>
      </x:c>
      <x:c r="H25" s="9" t="n">
        <x:f>1-(10*((('Workloads'!F6*('Inputs'!$D$14/1000000*((1-'Inputs'!$D$12-'Inputs'!$D$13)*'Model Rates'!$D$10+'Inputs'!$D$12*'Model Rates'!$E$10+'Inputs'!$D$13*'Model Rates'!$F$10)+'Inputs'!$D$15/1000000*'Model Rates'!$G$10)+'Workloads'!F7*('Inputs'!$D$16/1000000*((1-'Inputs'!$D$12-'Inputs'!$D$13)*'Model Rates'!$D$10+'Inputs'!$D$12*'Model Rates'!$E$10+'Inputs'!$D$13*'Model Rates'!$F$10)+'Inputs'!$D$17/1000000*'Model Rates'!$G$10)+'Workloads'!F9*('Inputs'!$D$18/1000000*((1-'Inputs'!$D$12-'Inputs'!$D$13)*'Model Rates'!$D$10+'Inputs'!$D$12*'Model Rates'!$E$10+'Inputs'!$D$13*'Model Rates'!$F$10)+'Inputs'!$D$19/1000000*'Model Rates'!$G$10))+'Cost Build'!F21+'Cost Build'!F33)*(1+'Inputs'!$D$54)+'Inputs'!$D$55)+'Fleet'!$D$17+G25*'Inputs'!$D$56+'Inputs'!$D$57)/G25</x:f>
        <x:v>0.13671205936920217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 t="str">
        <x:f>C11</x:f>
        <x:v>GPT 6 Sol</x:v>
      </x:c>
      <x:c r="D26" s="24" t="n">
        <x:f>('Inputs'!$D$14/1000000*((1-'Inputs'!$D$12-'Inputs'!$D$13)*'Model Rates'!$D$11+'Inputs'!$D$12*'Model Rates'!$E$11+'Inputs'!$D$13*'Model Rates'!$F$11)+'Inputs'!$D$15/1000000*'Model Rates'!$G$11)</x:f>
        <x:v>0.11099999999999999</x:v>
      </x:c>
      <x:c r="E26" s="26" t="n">
        <x:f>10*('Inputs'!$D$6+MAX(0,('Workloads'!E6*('Inputs'!$D$14/1000000*((1-'Inputs'!$D$12-'Inputs'!$D$13)*'Model Rates'!$D$11+'Inputs'!$D$12*'Model Rates'!$E$11+'Inputs'!$D$13*'Model Rates'!$F$11)+'Inputs'!$D$15/1000000*'Model Rates'!$G$11)+'Workloads'!E7*('Inputs'!$D$16/1000000*((1-'Inputs'!$D$12-'Inputs'!$D$13)*'Model Rates'!$D$11+'Inputs'!$D$12*'Model Rates'!$E$11+'Inputs'!$D$13*'Model Rates'!$F$11)+'Inputs'!$D$17/1000000*'Model Rates'!$G$11)+'Workloads'!E9*('Inputs'!$D$18/1000000*((1-'Inputs'!$D$12-'Inputs'!$D$13)*'Model Rates'!$D$11+'Inputs'!$D$12*'Model Rates'!$E$11+'Inputs'!$D$13*'Model Rates'!$F$11)+'Inputs'!$D$19/1000000*'Model Rates'!$G$11))*'Inputs'!$D$8-'Inputs'!$D$7)+'Cost Build'!E52)</x:f>
        <x:v>974.1999999999998</x:v>
      </x:c>
      <x:c r="F26" s="9" t="n">
        <x:f>1-(10*((('Workloads'!E6*('Inputs'!$D$14/1000000*((1-'Inputs'!$D$12-'Inputs'!$D$13)*'Model Rates'!$D$11+'Inputs'!$D$12*'Model Rates'!$E$11+'Inputs'!$D$13*'Model Rates'!$F$11)+'Inputs'!$D$15/1000000*'Model Rates'!$G$11)+'Workloads'!E7*('Inputs'!$D$16/1000000*((1-'Inputs'!$D$12-'Inputs'!$D$13)*'Model Rates'!$D$11+'Inputs'!$D$12*'Model Rates'!$E$11+'Inputs'!$D$13*'Model Rates'!$F$11)+'Inputs'!$D$17/1000000*'Model Rates'!$G$11)+'Workloads'!E9*('Inputs'!$D$18/1000000*((1-'Inputs'!$D$12-'Inputs'!$D$13)*'Model Rates'!$D$11+'Inputs'!$D$12*'Model Rates'!$E$11+'Inputs'!$D$13*'Model Rates'!$F$11)+'Inputs'!$D$19/1000000*'Model Rates'!$G$11))+'Cost Build'!E21+'Cost Build'!E33)*(1+'Inputs'!$D$54)+'Inputs'!$D$55)+'Fleet'!$D$17+E26*'Inputs'!$D$56+'Inputs'!$D$57)/E26</x:f>
        <x:v>0.5452680256620817</x:v>
      </x:c>
      <x:c r="G26" s="26" t="n">
        <x:f>10*('Inputs'!$D$6+MAX(0,('Workloads'!F6*('Inputs'!$D$14/1000000*((1-'Inputs'!$D$12-'Inputs'!$D$13)*'Model Rates'!$D$11+'Inputs'!$D$12*'Model Rates'!$E$11+'Inputs'!$D$13*'Model Rates'!$F$11)+'Inputs'!$D$15/1000000*'Model Rates'!$G$11)+'Workloads'!F7*('Inputs'!$D$16/1000000*((1-'Inputs'!$D$12-'Inputs'!$D$13)*'Model Rates'!$D$11+'Inputs'!$D$12*'Model Rates'!$E$11+'Inputs'!$D$13*'Model Rates'!$F$11)+'Inputs'!$D$17/1000000*'Model Rates'!$G$11)+'Workloads'!F9*('Inputs'!$D$18/1000000*((1-'Inputs'!$D$12-'Inputs'!$D$13)*'Model Rates'!$D$11+'Inputs'!$D$12*'Model Rates'!$E$11+'Inputs'!$D$13*'Model Rates'!$F$11)+'Inputs'!$D$19/1000000*'Model Rates'!$G$11))*'Inputs'!$D$8-'Inputs'!$D$7)+'Cost Build'!F52)</x:f>
        <x:v>3564.2199999999993</x:v>
      </x:c>
      <x:c r="H26" s="9" t="n">
        <x:f>1-(10*((('Workloads'!F6*('Inputs'!$D$14/1000000*((1-'Inputs'!$D$12-'Inputs'!$D$13)*'Model Rates'!$D$11+'Inputs'!$D$12*'Model Rates'!$E$11+'Inputs'!$D$13*'Model Rates'!$F$11)+'Inputs'!$D$15/1000000*'Model Rates'!$G$11)+'Workloads'!F7*('Inputs'!$D$16/1000000*((1-'Inputs'!$D$12-'Inputs'!$D$13)*'Model Rates'!$D$11+'Inputs'!$D$12*'Model Rates'!$E$11+'Inputs'!$D$13*'Model Rates'!$F$11)+'Inputs'!$D$17/1000000*'Model Rates'!$G$11)+'Workloads'!F9*('Inputs'!$D$18/1000000*((1-'Inputs'!$D$12-'Inputs'!$D$13)*'Model Rates'!$D$11+'Inputs'!$D$12*'Model Rates'!$E$11+'Inputs'!$D$13*'Model Rates'!$F$11)+'Inputs'!$D$19/1000000*'Model Rates'!$G$11))+'Cost Build'!F21+'Cost Build'!F33)*(1+'Inputs'!$D$54)+'Inputs'!$D$55)+'Fleet'!$D$17+G26*'Inputs'!$D$56+'Inputs'!$D$57)/G26</x:f>
        <x:v>0.5290689250382974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str">
        <x:f>C12</x:f>
        <x:v>Claude Sonnet 5.5</x:v>
      </x:c>
      <x:c r="D27" s="24" t="n">
        <x:f>('Inputs'!$D$14/1000000*((1-'Inputs'!$D$12-'Inputs'!$D$13)*'Model Rates'!$D$12+'Inputs'!$D$12*'Model Rates'!$E$12+'Inputs'!$D$13*'Model Rates'!$F$12)+'Inputs'!$D$15/1000000*'Model Rates'!$G$12)</x:f>
        <x:v>0.103</x:v>
      </x:c>
      <x:c r="E27" s="26" t="n">
        <x:f>10*('Inputs'!$D$6+MAX(0,('Workloads'!E6*('Inputs'!$D$14/1000000*((1-'Inputs'!$D$12-'Inputs'!$D$13)*'Model Rates'!$D$12+'Inputs'!$D$12*'Model Rates'!$E$12+'Inputs'!$D$13*'Model Rates'!$F$12)+'Inputs'!$D$15/1000000*'Model Rates'!$G$12)+'Workloads'!E7*('Inputs'!$D$16/1000000*((1-'Inputs'!$D$12-'Inputs'!$D$13)*'Model Rates'!$D$12+'Inputs'!$D$12*'Model Rates'!$E$12+'Inputs'!$D$13*'Model Rates'!$F$12)+'Inputs'!$D$17/1000000*'Model Rates'!$G$12)+'Workloads'!E9*('Inputs'!$D$18/1000000*((1-'Inputs'!$D$12-'Inputs'!$D$13)*'Model Rates'!$D$12+'Inputs'!$D$12*'Model Rates'!$E$12+'Inputs'!$D$13*'Model Rates'!$F$12)+'Inputs'!$D$19/1000000*'Model Rates'!$G$12))*'Inputs'!$D$8-'Inputs'!$D$7)+'Cost Build'!E52)</x:f>
        <x:v>916.5999999999999</x:v>
      </x:c>
      <x:c r="F27" s="9" t="n">
        <x:f>1-(10*((('Workloads'!E6*('Inputs'!$D$14/1000000*((1-'Inputs'!$D$12-'Inputs'!$D$13)*'Model Rates'!$D$12+'Inputs'!$D$12*'Model Rates'!$E$12+'Inputs'!$D$13*'Model Rates'!$F$12)+'Inputs'!$D$15/1000000*'Model Rates'!$G$12)+'Workloads'!E7*('Inputs'!$D$16/1000000*((1-'Inputs'!$D$12-'Inputs'!$D$13)*'Model Rates'!$D$12+'Inputs'!$D$12*'Model Rates'!$E$12+'Inputs'!$D$13*'Model Rates'!$F$12)+'Inputs'!$D$17/1000000*'Model Rates'!$G$12)+'Workloads'!E9*('Inputs'!$D$18/1000000*((1-'Inputs'!$D$12-'Inputs'!$D$13)*'Model Rates'!$D$12+'Inputs'!$D$12*'Model Rates'!$E$12+'Inputs'!$D$13*'Model Rates'!$F$12)+'Inputs'!$D$19/1000000*'Model Rates'!$G$12))+'Cost Build'!E21+'Cost Build'!E33)*(1+'Inputs'!$D$54)+'Inputs'!$D$55)+'Fleet'!$D$17+E27*'Inputs'!$D$56+'Inputs'!$D$57)/E27</x:f>
        <x:v>0.5419961931049531</x:v>
      </x:c>
      <x:c r="G27" s="26" t="n">
        <x:f>10*('Inputs'!$D$6+MAX(0,('Workloads'!F6*('Inputs'!$D$14/1000000*((1-'Inputs'!$D$12-'Inputs'!$D$13)*'Model Rates'!$D$12+'Inputs'!$D$12*'Model Rates'!$E$12+'Inputs'!$D$13*'Model Rates'!$F$12)+'Inputs'!$D$15/1000000*'Model Rates'!$G$12)+'Workloads'!F7*('Inputs'!$D$16/1000000*((1-'Inputs'!$D$12-'Inputs'!$D$13)*'Model Rates'!$D$12+'Inputs'!$D$12*'Model Rates'!$E$12+'Inputs'!$D$13*'Model Rates'!$F$12)+'Inputs'!$D$17/1000000*'Model Rates'!$G$12)+'Workloads'!F9*('Inputs'!$D$18/1000000*((1-'Inputs'!$D$12-'Inputs'!$D$13)*'Model Rates'!$D$12+'Inputs'!$D$12*'Model Rates'!$E$12+'Inputs'!$D$13*'Model Rates'!$F$12)+'Inputs'!$D$19/1000000*'Model Rates'!$G$12))*'Inputs'!$D$8-'Inputs'!$D$7)+'Cost Build'!F52)</x:f>
        <x:v>3324.22</x:v>
      </x:c>
      <x:c r="H27" s="9" t="n">
        <x:f>1-(10*((('Workloads'!F6*('Inputs'!$D$14/1000000*((1-'Inputs'!$D$12-'Inputs'!$D$13)*'Model Rates'!$D$12+'Inputs'!$D$12*'Model Rates'!$E$12+'Inputs'!$D$13*'Model Rates'!$F$12)+'Inputs'!$D$15/1000000*'Model Rates'!$G$12)+'Workloads'!F7*('Inputs'!$D$16/1000000*((1-'Inputs'!$D$12-'Inputs'!$D$13)*'Model Rates'!$D$12+'Inputs'!$D$12*'Model Rates'!$E$12+'Inputs'!$D$13*'Model Rates'!$F$12)+'Inputs'!$D$17/1000000*'Model Rates'!$G$12)+'Workloads'!F9*('Inputs'!$D$18/1000000*((1-'Inputs'!$D$12-'Inputs'!$D$13)*'Model Rates'!$D$12+'Inputs'!$D$12*'Model Rates'!$E$12+'Inputs'!$D$13*'Model Rates'!$F$12)+'Inputs'!$D$19/1000000*'Model Rates'!$G$12))+'Cost Build'!F21+'Cost Build'!F33)*(1+'Inputs'!$D$54)+'Inputs'!$D$55)+'Fleet'!$D$17+G27*'Inputs'!$D$56+'Inputs'!$D$57)/G27</x:f>
        <x:v>0.5241404130893864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str">
        <x:f>C13</x:f>
        <x:v>Claude Opus 5.5</x:v>
      </x:c>
      <x:c r="D28" s="24" t="n">
        <x:f>('Inputs'!$D$14/1000000*((1-'Inputs'!$D$12-'Inputs'!$D$13)*'Model Rates'!$D$13+'Inputs'!$D$12*'Model Rates'!$E$13+'Inputs'!$D$13*'Model Rates'!$F$13)+'Inputs'!$D$15/1000000*'Model Rates'!$G$13)</x:f>
        <x:v>0.206</x:v>
      </x:c>
      <x:c r="E28" s="26" t="n">
        <x:f>10*('Inputs'!$D$6+MAX(0,('Workloads'!E6*('Inputs'!$D$14/1000000*((1-'Inputs'!$D$12-'Inputs'!$D$13)*'Model Rates'!$D$13+'Inputs'!$D$12*'Model Rates'!$E$13+'Inputs'!$D$13*'Model Rates'!$F$13)+'Inputs'!$D$15/1000000*'Model Rates'!$G$13)+'Workloads'!E7*('Inputs'!$D$16/1000000*((1-'Inputs'!$D$12-'Inputs'!$D$13)*'Model Rates'!$D$13+'Inputs'!$D$12*'Model Rates'!$E$13+'Inputs'!$D$13*'Model Rates'!$F$13)+'Inputs'!$D$17/1000000*'Model Rates'!$G$13)+'Workloads'!E9*('Inputs'!$D$18/1000000*((1-'Inputs'!$D$12-'Inputs'!$D$13)*'Model Rates'!$D$13+'Inputs'!$D$12*'Model Rates'!$E$13+'Inputs'!$D$13*'Model Rates'!$F$13)+'Inputs'!$D$19/1000000*'Model Rates'!$G$13))*'Inputs'!$D$8-'Inputs'!$D$7)+'Cost Build'!E52)</x:f>
        <x:v>1643.1999999999998</x:v>
      </x:c>
      <x:c r="F28" s="9" t="n">
        <x:f>1-(10*((('Workloads'!E6*('Inputs'!$D$14/1000000*((1-'Inputs'!$D$12-'Inputs'!$D$13)*'Model Rates'!$D$13+'Inputs'!$D$12*'Model Rates'!$E$13+'Inputs'!$D$13*'Model Rates'!$F$13)+'Inputs'!$D$15/1000000*'Model Rates'!$G$13)+'Workloads'!E7*('Inputs'!$D$16/1000000*((1-'Inputs'!$D$12-'Inputs'!$D$13)*'Model Rates'!$D$13+'Inputs'!$D$12*'Model Rates'!$E$13+'Inputs'!$D$13*'Model Rates'!$F$13)+'Inputs'!$D$17/1000000*'Model Rates'!$G$13)+'Workloads'!E9*('Inputs'!$D$18/1000000*((1-'Inputs'!$D$12-'Inputs'!$D$13)*'Model Rates'!$D$13+'Inputs'!$D$12*'Model Rates'!$E$13+'Inputs'!$D$13*'Model Rates'!$F$13)+'Inputs'!$D$19/1000000*'Model Rates'!$G$13))+'Cost Build'!E21+'Cost Build'!E33)*(1+'Inputs'!$D$54)+'Inputs'!$D$55)+'Fleet'!$D$17+E28*'Inputs'!$D$56+'Inputs'!$D$57)/E28</x:f>
        <x:v>0.5664655006085686</x:v>
      </x:c>
      <x:c r="G28" s="26" t="n">
        <x:f>10*('Inputs'!$D$6+MAX(0,('Workloads'!F6*('Inputs'!$D$14/1000000*((1-'Inputs'!$D$12-'Inputs'!$D$13)*'Model Rates'!$D$13+'Inputs'!$D$12*'Model Rates'!$E$13+'Inputs'!$D$13*'Model Rates'!$F$13)+'Inputs'!$D$15/1000000*'Model Rates'!$G$13)+'Workloads'!F7*('Inputs'!$D$16/1000000*((1-'Inputs'!$D$12-'Inputs'!$D$13)*'Model Rates'!$D$13+'Inputs'!$D$12*'Model Rates'!$E$13+'Inputs'!$D$13*'Model Rates'!$F$13)+'Inputs'!$D$17/1000000*'Model Rates'!$G$13)+'Workloads'!F9*('Inputs'!$D$18/1000000*((1-'Inputs'!$D$12-'Inputs'!$D$13)*'Model Rates'!$D$13+'Inputs'!$D$12*'Model Rates'!$E$13+'Inputs'!$D$13*'Model Rates'!$F$13)+'Inputs'!$D$19/1000000*'Model Rates'!$G$13))*'Inputs'!$D$8-'Inputs'!$D$7)+'Cost Build'!F52)</x:f>
        <x:v>6354.219999999999</x:v>
      </x:c>
      <x:c r="H28" s="9" t="n">
        <x:f>1-(10*((('Workloads'!F6*('Inputs'!$D$14/1000000*((1-'Inputs'!$D$12-'Inputs'!$D$13)*'Model Rates'!$D$13+'Inputs'!$D$12*'Model Rates'!$E$13+'Inputs'!$D$13*'Model Rates'!$F$13)+'Inputs'!$D$15/1000000*'Model Rates'!$G$13)+'Workloads'!F7*('Inputs'!$D$16/1000000*((1-'Inputs'!$D$12-'Inputs'!$D$13)*'Model Rates'!$D$13+'Inputs'!$D$12*'Model Rates'!$E$13+'Inputs'!$D$13*'Model Rates'!$F$13)+'Inputs'!$D$17/1000000*'Model Rates'!$G$13)+'Workloads'!F9*('Inputs'!$D$18/1000000*((1-'Inputs'!$D$12-'Inputs'!$D$13)*'Model Rates'!$D$13+'Inputs'!$D$12*'Model Rates'!$E$13+'Inputs'!$D$13*'Model Rates'!$F$13)+'Inputs'!$D$19/1000000*'Model Rates'!$G$13))+'Cost Build'!F21+'Cost Build'!F33)*(1+'Inputs'!$D$54)+'Inputs'!$D$55)+'Fleet'!$D$17+G28*'Inputs'!$D$56+'Inputs'!$D$57)/G28</x:f>
        <x:v>0.5590423441429475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 t="str">
        <x:v>CM includes all vendor costs, including the bundled tools. Only AI and excess runtime create usage revenue.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 t="str">
        <x:v>Premium rates raise customer bills sharply at 3×. BYOK is preferable for sustained premium use.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6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Cost Build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USD / member / month</x:v>
      </x:c>
      <x:c r="D5" s="7" t="str">
        <x:v>Light</x:v>
      </x:c>
      <x:c r="E5" s="7" t="str">
        <x:v>Typical</x:v>
      </x:c>
      <x:c r="F5" s="7" t="str">
        <x:v>Heavy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Main-run inference</x:v>
      </x:c>
      <x:c r="D6" s="27" t="n">
        <x:f>'Workloads'!D6*('Inputs'!$D$14/1000000*((1-'Inputs'!$D$12-'Inputs'!$D$13)*INDEX('Model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1.2978</x:v>
      </x:c>
      <x:c r="E6" s="27" t="n">
        <x:f>'Workloads'!E6*('Inputs'!$D$14/1000000*((1-'Inputs'!$D$12-'Inputs'!$D$13)*INDEX('Model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3.2445</x:v>
      </x:c>
      <x:c r="F6" s="27" t="n">
        <x:f>'Workloads'!F6*('Inputs'!$D$14/1000000*((1-'Inputs'!$D$12-'Inputs'!$D$13)*INDEX('Model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12.978</x:v>
      </x:c>
      <x:c r="G6" s="1"/>
      <x:c r="H6" s="1" t="str">
        <x:v>Case selected: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Code-session inference</x:v>
      </x:c>
      <x:c r="D7" s="27" t="n">
        <x:f>'Workloads'!D7*('Inputs'!$D$16/1000000*((1-'Inputs'!$D$12-'Inputs'!$D$13)*INDEX('Model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0.2961</x:v>
      </x:c>
      <x:c r="E7" s="27" t="n">
        <x:f>'Workloads'!E7*('Inputs'!$D$16/1000000*((1-'Inputs'!$D$12-'Inputs'!$D$13)*INDEX('Model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0.987</x:v>
      </x:c>
      <x:c r="F7" s="27" t="n">
        <x:f>'Workloads'!F7*('Inputs'!$D$16/1000000*((1-'Inputs'!$D$12-'Inputs'!$D$13)*INDEX('Model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3.948</x:v>
      </x:c>
      <x:c r="G7" s="1"/>
      <x:c r="H7" s="1" t="str">
        <x:f>INDEX('Model Rates'!$C$6:$C$13,'Inputs'!$D$10)</x:f>
        <x:v>Default mix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Browser inference</x:v>
      </x:c>
      <x:c r="D8" s="27" t="n">
        <x:f>'Workloads'!D9*('Inputs'!$D$18/1000000*((1-'Inputs'!$D$12-'Inputs'!$D$13)*INDEX('Model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0</x:v>
      </x:c>
      <x:c r="E8" s="27" t="n">
        <x:f>'Workloads'!E9*('Inputs'!$D$18/1000000*((1-'Inputs'!$D$12-'Inputs'!$D$13)*INDEX('Model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0.8652</x:v>
      </x:c>
      <x:c r="F8" s="27" t="n">
        <x:f>'Workloads'!F9*('Inputs'!$D$18/1000000*((1-'Inputs'!$D$12-'Inputs'!$D$13)*INDEX('Model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4.326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30" t="str">
        <x:v>User-requested LLM subtotal</x:v>
      </x:c>
      <x:c r="D9" s="31" t="n">
        <x:f>SUM(D6:D8)</x:f>
        <x:v>1.5939</x:v>
      </x:c>
      <x:c r="E9" s="31" t="n">
        <x:f>SUM(E6:E8)</x:f>
        <x:v>5.096699999999999</x:v>
      </x:c>
      <x:c r="F9" s="31" t="n">
        <x:f>SUM(F6:F8)</x:f>
        <x:v>21.252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/>
      <x:c r="D10" s="27"/>
      <x:c r="E10" s="27"/>
      <x:c r="F10" s="27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Sandbox active compute</x:v>
      </x:c>
      <x:c r="D11" s="27" t="n">
        <x:f>'Workloads'!D8*'Inputs'!$D$39*3600*'Inputs'!$D$40</x:f>
        <x:v>0.1656</x:v>
      </x:c>
      <x:c r="E11" s="27" t="n">
        <x:f>'Workloads'!E8*'Inputs'!$D$39*3600*'Inputs'!$D$40</x:f>
        <x:v>0.828</x:v>
      </x:c>
      <x:c r="F11" s="27" t="n">
        <x:f>'Workloads'!F8*'Inputs'!$D$39*3600*'Inputs'!$D$40</x:f>
        <x:v>4.14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Browser sessions</x:v>
      </x:c>
      <x:c r="D12" s="27" t="n">
        <x:f>'Workloads'!D9*'Inputs'!$D$41</x:f>
        <x:v>0</x:v>
      </x:c>
      <x:c r="E12" s="27" t="n">
        <x:f>'Workloads'!E9*'Inputs'!$D$41</x:f>
        <x:v>0.396</x:v>
      </x:c>
      <x:c r="F12" s="27" t="n">
        <x:f>'Workloads'!F9*'Inputs'!$D$41</x:f>
        <x:v>1.98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External search</x:v>
      </x:c>
      <x:c r="D13" s="27" t="n">
        <x:f>'Workloads'!D10*'Inputs'!$D$43</x:f>
        <x:v>0.21</x:v>
      </x:c>
      <x:c r="E13" s="27" t="n">
        <x:f>'Workloads'!E10*'Inputs'!$D$43</x:f>
        <x:v>0.7000000000000001</x:v>
      </x:c>
      <x:c r="F13" s="27" t="n">
        <x:f>'Workloads'!F10*'Inputs'!$D$43</x:f>
        <x:v>2.8000000000000003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External content fetch</x:v>
      </x:c>
      <x:c r="D14" s="27" t="n">
        <x:f>'Workloads'!D11*'Inputs'!$D$44</x:f>
        <x:v>0.09</x:v>
      </x:c>
      <x:c r="E14" s="27" t="n">
        <x:f>'Workloads'!E11*'Inputs'!$D$44</x:f>
        <x:v>0.3</x:v>
      </x:c>
      <x:c r="F14" s="27" t="n">
        <x:f>'Workloads'!F11*'Inputs'!$D$44</x:f>
        <x:v>1.2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 t="str">
        <x:v>Hot code storage</x:v>
      </x:c>
      <x:c r="D15" s="27" t="n">
        <x:f>'Workloads'!D16*'Inputs'!$D$36*'Inputs'!$D$45</x:f>
        <x:v>0</x:v>
      </x:c>
      <x:c r="E15" s="27" t="n">
        <x:f>'Workloads'!E16*'Inputs'!$D$36*'Inputs'!$D$45</x:f>
        <x:v>0.9125</x:v>
      </x:c>
      <x:c r="F15" s="27" t="n">
        <x:f>'Workloads'!F16*'Inputs'!$D$36*'Inputs'!$D$45</x:f>
        <x:v>3.65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Cold code storage</x:v>
      </x:c>
      <x:c r="D16" s="27" t="n">
        <x:f>'Workloads'!D17*'Inputs'!$D$36*'Inputs'!$D$46</x:f>
        <x:v>0</x:v>
      </x:c>
      <x:c r="E16" s="27" t="n">
        <x:f>'Workloads'!E17*'Inputs'!$D$36*'Inputs'!$D$46</x:f>
        <x:v>0.07300000000000001</x:v>
      </x:c>
      <x:c r="F16" s="27" t="n">
        <x:f>'Workloads'!F17*'Inputs'!$D$36*'Inputs'!$D$46</x:f>
        <x:v>0.29200000000000004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Code ingress</x:v>
      </x:c>
      <x:c r="D17" s="27" t="n">
        <x:f>'Workloads'!D18*'Inputs'!$D$47</x:f>
        <x:v>0</x:v>
      </x:c>
      <x:c r="E17" s="27" t="n">
        <x:f>'Workloads'!E18*'Inputs'!$D$47</x:f>
        <x:v>0.015</x:v>
      </x:c>
      <x:c r="F17" s="27" t="n">
        <x:f>'Workloads'!F18*'Inputs'!$D$47</x:f>
        <x:v>0.06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 t="str">
        <x:v>Code egress</x:v>
      </x:c>
      <x:c r="D18" s="27" t="n">
        <x:f>'Workloads'!D19*'Inputs'!$D$48</x:f>
        <x:v>0</x:v>
      </x:c>
      <x:c r="E18" s="27" t="n">
        <x:f>'Workloads'!E19*'Inputs'!$D$48</x:f>
        <x:v>0.15</x:v>
      </x:c>
      <x:c r="F18" s="27" t="n">
        <x:f>'Workloads'!F19*'Inputs'!$D$48</x:f>
        <x:v>0.6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 t="str">
        <x:v>Sandbox snapshots</x:v>
      </x:c>
      <x:c r="D19" s="27" t="n">
        <x:f>'Workloads'!D20*'Inputs'!$D$50</x:f>
        <x:v>0.1</x:v>
      </x:c>
      <x:c r="E19" s="27" t="n">
        <x:f>'Workloads'!E20*'Inputs'!$D$50</x:f>
        <x:v>0.2</x:v>
      </x:c>
      <x:c r="F19" s="27" t="n">
        <x:f>'Workloads'!F20*'Inputs'!$D$50</x:f>
        <x:v>0.8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 t="str">
        <x:v>Voice transcription</x:v>
      </x:c>
      <x:c r="D20" s="27" t="n">
        <x:f>'Workloads'!D21*'Inputs'!$D$51</x:f>
        <x:v>0.26999999999999996</x:v>
      </x:c>
      <x:c r="E20" s="27" t="n">
        <x:f>'Workloads'!E21*'Inputs'!$D$51</x:f>
        <x:v>0.5399999999999999</x:v>
      </x:c>
      <x:c r="F20" s="27" t="n">
        <x:f>'Workloads'!F21*'Inputs'!$D$51</x:f>
        <x:v>1.6199999999999999</x:v>
      </x:c>
      <x:c r="G20" s="1"/>
      <x:c r="H20" s="1" t="str">
        <x:v>Search, voice and code storage are included. These rows are Lor costs, not customer charges.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30" t="str">
        <x:v>Non-model vendor subtotal</x:v>
      </x:c>
      <x:c r="D21" s="31" t="n">
        <x:f>SUM(D11:D20)</x:f>
        <x:v>0.8355999999999999</x:v>
      </x:c>
      <x:c r="E21" s="31" t="n">
        <x:f>SUM(E11:E20)</x:f>
        <x:v>4.1145</x:v>
      </x:c>
      <x:c r="F21" s="31" t="n">
        <x:f>SUM(F11:F20)</x:f>
        <x:v>17.142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30" t="str">
        <x:v>User AI + non-model vendor cost</x:v>
      </x:c>
      <x:c r="D22" s="31" t="n">
        <x:f>D9+D21</x:f>
        <x:v>2.4295</x:v>
      </x:c>
      <x:c r="E22" s="31" t="n">
        <x:f>E9+E21</x:f>
        <x:v>9.211199999999998</x:v>
      </x:c>
      <x:c r="F22" s="31" t="n">
        <x:f>F9+F21</x:f>
        <x:v>38.394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/>
      <x:c r="D23" s="27"/>
      <x:c r="E23" s="27"/>
      <x:c r="F23" s="27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str">
        <x:v>Small-model housekeeping</x:v>
      </x:c>
      <x:c r="D24" s="27" t="n">
        <x:f>'Workloads'!D6*('Inputs'!$D$20*'Model Rates'!$D$10+'Inputs'!$D$21*'Model Rates'!$G$10)/1000000</x:f>
        <x:v>0.12</x:v>
      </x:c>
      <x:c r="E24" s="27" t="n">
        <x:f>'Workloads'!E6*('Inputs'!$D$20*'Model Rates'!$D$10+'Inputs'!$D$21*'Model Rates'!$G$10)/1000000</x:f>
        <x:v>0.3</x:v>
      </x:c>
      <x:c r="F24" s="27" t="n">
        <x:f>'Workloads'!F6*('Inputs'!$D$20*'Model Rates'!$D$10+'Inputs'!$D$21*'Model Rates'!$G$10)/1000000</x:f>
        <x:v>1.2</x:v>
      </x:c>
      <x:c r="G24" s="1"/>
      <x:c r="H24" s="1" t="str">
        <x:v>Background never debits the user wallet; it still belongs in Lor COGS.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str">
        <x:v>Gated memory writeback</x:v>
      </x:c>
      <x:c r="D25" s="27" t="n">
        <x:f>'Workloads'!D6*'Inputs'!$D$22*('Inputs'!$D$23/1000000*((1-'Inputs'!$D$12-'Inputs'!$D$13)*'Model Rates'!$D$6+'Inputs'!$D$12*'Model Rates'!$E$6+'Inputs'!$D$13*'Model Rates'!$F$6)+'Inputs'!$D$24/1000000*'Model Rates'!$G$6)</x:f>
        <x:v>0.14805000000000001</x:v>
      </x:c>
      <x:c r="E25" s="27" t="n">
        <x:f>'Workloads'!E6*'Inputs'!$D$22*('Inputs'!$D$23/1000000*((1-'Inputs'!$D$12-'Inputs'!$D$13)*'Model Rates'!$D$6+'Inputs'!$D$12*'Model Rates'!$E$6+'Inputs'!$D$13*'Model Rates'!$F$6)+'Inputs'!$D$24/1000000*'Model Rates'!$G$6)</x:f>
        <x:v>0.37012500000000004</x:v>
      </x:c>
      <x:c r="F25" s="27" t="n">
        <x:f>'Workloads'!F6*'Inputs'!$D$22*('Inputs'!$D$23/1000000*((1-'Inputs'!$D$12-'Inputs'!$D$13)*'Model Rates'!$D$6+'Inputs'!$D$12*'Model Rates'!$E$6+'Inputs'!$D$13*'Model Rates'!$F$6)+'Inputs'!$D$24/1000000*'Model Rates'!$G$6)</x:f>
        <x:v>1.4805000000000001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 t="str">
        <x:v>Retrieval reranking</x:v>
      </x:c>
      <x:c r="D26" s="27" t="n">
        <x:f>'Workloads'!D6*'Inputs'!$D$25*'Inputs'!$D$26*'Inputs'!$D$27/1000000</x:f>
        <x:v>0.24</x:v>
      </x:c>
      <x:c r="E26" s="27" t="n">
        <x:f>'Workloads'!E6*'Inputs'!$D$25*'Inputs'!$D$26*'Inputs'!$D$27/1000000</x:f>
        <x:v>0.6</x:v>
      </x:c>
      <x:c r="F26" s="27" t="n">
        <x:f>'Workloads'!F6*'Inputs'!$D$25*'Inputs'!$D$26*'Inputs'!$D$27/1000000</x:f>
        <x:v>2.4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str">
        <x:v>Source ingestion + embedding</x:v>
      </x:c>
      <x:c r="D27" s="27" t="n">
        <x:f>'Workloads'!D12*('Inputs'!$D$28*('Model Rates'!$D$10+'Inputs'!$D$30)+'Inputs'!$D$29*'Model Rates'!$G$10)/1000000</x:f>
        <x:v>0.095</x:v>
      </x:c>
      <x:c r="E27" s="27" t="n">
        <x:f>'Workloads'!E12*('Inputs'!$D$28*('Model Rates'!$D$10+'Inputs'!$D$30)+'Inputs'!$D$29*'Model Rates'!$G$10)/1000000</x:f>
        <x:v>0.38</x:v>
      </x:c>
      <x:c r="F27" s="27" t="n">
        <x:f>'Workloads'!F12*('Inputs'!$D$28*('Model Rates'!$D$10+'Inputs'!$D$30)+'Inputs'!$D$29*'Model Rates'!$G$10)/1000000</x:f>
        <x:v>1.9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str">
        <x:v>Attachment extraction + embedding</x:v>
      </x:c>
      <x:c r="D28" s="27" t="n">
        <x:f>'Workloads'!D14*('Inputs'!$D$31*('Inputs'!$D$32*'Model Rates'!$D$10+'Inputs'!$D$33*'Model Rates'!$G$10)+'Inputs'!$D$28*'Inputs'!$D$30)/1000000</x:f>
        <x:v>0.0043</x:v>
      </x:c>
      <x:c r="E28" s="27" t="n">
        <x:f>'Workloads'!E14*('Inputs'!$D$31*('Inputs'!$D$32*'Model Rates'!$D$10+'Inputs'!$D$33*'Model Rates'!$G$10)+'Inputs'!$D$28*'Inputs'!$D$30)/1000000</x:f>
        <x:v>0.0172</x:v>
      </x:c>
      <x:c r="F28" s="27" t="n">
        <x:f>'Workloads'!F14*('Inputs'!$D$31*('Inputs'!$D$32*'Model Rates'!$D$10+'Inputs'!$D$33*'Model Rates'!$G$10)+'Inputs'!$D$28*'Inputs'!$D$30)/1000000</x:f>
        <x:v>0.086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 t="str">
        <x:v>Retained index RAM</x:v>
      </x:c>
      <x:c r="D29" s="27" t="n">
        <x:f>'Workloads'!D13*'Inputs'!$D$34/1000000*'Inputs'!$D$37*'Inputs'!$D$36*3600</x:f>
        <x:v>0.32461056000000005</x:v>
      </x:c>
      <x:c r="E29" s="27" t="n">
        <x:f>'Workloads'!E13*'Inputs'!$D$34/1000000*'Inputs'!$D$37*'Inputs'!$D$36*3600</x:f>
        <x:v>1.6230528</x:v>
      </x:c>
      <x:c r="F29" s="27" t="n">
        <x:f>'Workloads'!F13*'Inputs'!$D$34/1000000*'Inputs'!$D$37*'Inputs'!$D$36*3600</x:f>
        <x:v>4.057632000000001</x:v>
      </x:c>
      <x:c r="G29" s="1"/>
      <x:c r="H29" s="1" t="str">
        <x:v>Index RAM dominates embedding cost as the retained corpus grows.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 t="str">
        <x:v>Retained index disk</x:v>
      </x:c>
      <x:c r="D30" s="27" t="n">
        <x:f>'Workloads'!D13*'Inputs'!$D$35/1000000*'Inputs'!$D$38*'Inputs'!$D$36*3600</x:f>
        <x:v>0.01009152</x:v>
      </x:c>
      <x:c r="E30" s="27" t="n">
        <x:f>'Workloads'!E13*'Inputs'!$D$35/1000000*'Inputs'!$D$38*'Inputs'!$D$36*3600</x:f>
        <x:v>0.0504576</x:v>
      </x:c>
      <x:c r="F30" s="27" t="n">
        <x:f>'Workloads'!F13*'Inputs'!$D$35/1000000*'Inputs'!$D$38*'Inputs'!$D$36*3600</x:f>
        <x:v>0.12614399999999998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 t="str">
        <x:v>R2 files</x:v>
      </x:c>
      <x:c r="D31" s="27" t="n">
        <x:f>'Workloads'!D15*'Inputs'!$D$52</x:f>
        <x:v>0.015</x:v>
      </x:c>
      <x:c r="E31" s="27" t="n">
        <x:f>'Workloads'!E15*'Inputs'!$D$52</x:f>
        <x:v>0.03</x:v>
      </x:c>
      <x:c r="F31" s="27" t="n">
        <x:f>'Workloads'!F15*'Inputs'!$D$52</x:f>
        <x:v>0.075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 t="str">
        <x:v>Other variable core services</x:v>
      </x:c>
      <x:c r="D32" s="27" t="n">
        <x:f>'Inputs'!$D$53</x:f>
        <x:v>0.75</x:v>
      </x:c>
      <x:c r="E32" s="27" t="n">
        <x:f>'Inputs'!$D$53</x:f>
        <x:v>0.75</x:v>
      </x:c>
      <x:c r="F32" s="27" t="n">
        <x:f>'Inputs'!$D$53</x:f>
        <x:v>0.75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30" t="str">
        <x:v>Included background subtotal</x:v>
      </x:c>
      <x:c r="D33" s="31" t="n">
        <x:f>SUM(D24:D32)</x:f>
        <x:v>1.70705208</x:v>
      </x:c>
      <x:c r="E33" s="31" t="n">
        <x:f>SUM(E24:E32)</x:f>
        <x:v>4.1208354</x:v>
      </x:c>
      <x:c r="F33" s="31" t="n">
        <x:f>SUM(F24:F32)</x:f>
        <x:v>12.075276000000002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30" t="str">
        <x:v>Total variable vendor cost</x:v>
      </x:c>
      <x:c r="D34" s="31" t="n">
        <x:f>D22+D33</x:f>
        <x:v>4.1365520799999995</x:v>
      </x:c>
      <x:c r="E34" s="31" t="n">
        <x:f>E22+E33</x:f>
        <x:v>13.332035399999999</x:v>
      </x:c>
      <x:c r="F34" s="31" t="n">
        <x:f>F22+F33</x:f>
        <x:v>50.469276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 t="str">
        <x:v>Vendor contingency</x:v>
      </x:c>
      <x:c r="D35" s="27" t="n">
        <x:f>D34*'Inputs'!$D$54</x:f>
        <x:v>0.413655208</x:v>
      </x:c>
      <x:c r="E35" s="27" t="n">
        <x:f>E34*'Inputs'!$D$54</x:f>
        <x:v>1.33320354</x:v>
      </x:c>
      <x:c r="F35" s="27" t="n">
        <x:f>F34*'Inputs'!$D$54</x:f>
        <x:v>5.0469276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 t="str">
        <x:v>Direct support allocation</x:v>
      </x:c>
      <x:c r="D36" s="27" t="n">
        <x:f>'Inputs'!$D$55</x:f>
        <x:v>1.5</x:v>
      </x:c>
      <x:c r="E36" s="27" t="n">
        <x:f>'Inputs'!$D$55</x:f>
        <x:v>1.5</x:v>
      </x:c>
      <x:c r="F36" s="27" t="n">
        <x:f>'Inputs'!$D$55</x:f>
        <x:v>1.5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30" t="str">
        <x:v>Variable service cost incl. support</x:v>
      </x:c>
      <x:c r="D37" s="31" t="n">
        <x:f>SUM(D34:D36)</x:f>
        <x:v>6.050207287999999</x:v>
      </x:c>
      <x:c r="E37" s="31" t="n">
        <x:f>SUM(E34:E36)</x:f>
        <x:v>16.16523894</x:v>
      </x:c>
      <x:c r="F37" s="31" t="n">
        <x:f>SUM(F34:F36)</x:f>
        <x:v>57.0162036</x:v>
      </x:c>
      <x:c r="G37" s="1"/>
      <x:c r="H37" s="1" t="str">
        <x:v>Shared fleet cost and payment fees are added in Scenarios.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27"/>
      <x:c r="E38" s="27"/>
      <x:c r="F38" s="27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27"/>
      <x:c r="E39" s="27"/>
      <x:c r="F39" s="27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 t="str">
        <x:v>Default main run token cost</x:v>
      </x:c>
      <x:c r="D40" s="27" t="n">
        <x:f>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0.02163</x:v>
      </x:c>
      <x:c r="E40" s="27" t="n">
        <x:f>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0.02163</x:v>
      </x:c>
      <x:c r="F40" s="27" t="n">
        <x:f>('Inputs'!$D$14/1000000*((1-'Inputs'!$D$12-'Inputs'!$D$13)*INDEX('Model Rates'!$D$6:$D$13,'Inputs'!$D$10)+'Inputs'!$D$12*INDEX('Model Rates'!$E$6:$E$13,'Inputs'!$D$10)+'Inputs'!$D$13*INDEX('Model Rates'!$F$6:$F$13,'Inputs'!$D$10))+'Inputs'!$D$15/1000000*INDEX('Model Rates'!$G$6:$G$13,'Inputs'!$D$10))</x:f>
        <x:v>0.02163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 t="str">
        <x:v>Default code session token cost</x:v>
      </x:c>
      <x:c r="D41" s="27" t="n">
        <x:f>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0.0987</x:v>
      </x:c>
      <x:c r="E41" s="27" t="n">
        <x:f>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0.0987</x:v>
      </x:c>
      <x:c r="F41" s="27" t="n">
        <x:f>('Inputs'!$D$16/1000000*((1-'Inputs'!$D$12-'Inputs'!$D$13)*INDEX('Model Rates'!$D$6:$D$13,'Inputs'!$D$10)+'Inputs'!$D$12*INDEX('Model Rates'!$E$6:$E$13,'Inputs'!$D$10)+'Inputs'!$D$13*INDEX('Model Rates'!$F$6:$F$13,'Inputs'!$D$10))+'Inputs'!$D$17/1000000*INDEX('Model Rates'!$G$6:$G$13,'Inputs'!$D$10))</x:f>
        <x:v>0.0987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 t="str">
        <x:v>Default browser hour token cost</x:v>
      </x:c>
      <x:c r="D42" s="27" t="n">
        <x:f>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0.4326</x:v>
      </x:c>
      <x:c r="E42" s="27" t="n">
        <x:f>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0.4326</x:v>
      </x:c>
      <x:c r="F42" s="27" t="n">
        <x:f>('Inputs'!$D$18/1000000*((1-'Inputs'!$D$12-'Inputs'!$D$13)*INDEX('Model Rates'!$D$6:$D$13,'Inputs'!$D$10)+'Inputs'!$D$12*INDEX('Model Rates'!$E$6:$E$13,'Inputs'!$D$10)+'Inputs'!$D$13*INDEX('Model Rates'!$F$6:$F$13,'Inputs'!$D$10))+'Inputs'!$D$19/1000000*INDEX('Model Rates'!$G$6:$G$13,'Inputs'!$D$10))</x:f>
        <x:v>0.4326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 t="str">
        <x:v>Index cost per 10,000 source units</x:v>
      </x:c>
      <x:c r="D43" s="27" t="n">
        <x:f>10000*('Inputs'!$D$34*'Inputs'!$D$37+'Inputs'!$D$35*'Inputs'!$D$38)/1000000*'Inputs'!$D$36*3600</x:f>
        <x:v>1.6735104</x:v>
      </x:c>
      <x:c r="E43" s="27" t="n">
        <x:f>10000*('Inputs'!$D$34*'Inputs'!$D$37+'Inputs'!$D$35*'Inputs'!$D$38)/1000000*'Inputs'!$D$36*3600</x:f>
        <x:v>1.6735104</x:v>
      </x:c>
      <x:c r="F43" s="27" t="n">
        <x:f>10000*('Inputs'!$D$34*'Inputs'!$D$37+'Inputs'!$D$35*'Inputs'!$D$38)/1000000*'Inputs'!$D$36*3600</x:f>
        <x:v>1.6735104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 t="str">
        <x:v>Code Storage variable subtotal</x:v>
      </x:c>
      <x:c r="D44" s="27" t="n">
        <x:f>SUM(D15:D18)</x:f>
        <x:v>0</x:v>
      </x:c>
      <x:c r="E44" s="27" t="n">
        <x:f>SUM(E15:E18)</x:f>
        <x:v>1.1504999999999999</x:v>
      </x:c>
      <x:c r="F44" s="27" t="n">
        <x:f>SUM(F15:F18)</x:f>
        <x:v>4.601999999999999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30" t="str">
        <x:v>Retail AI consumption per member</x:v>
      </x:c>
      <x:c r="D45" s="31" t="n">
        <x:f>D9*'Inputs'!$D$8</x:f>
        <x:v>4.781700000000001</x:v>
      </x:c>
      <x:c r="E45" s="31" t="n">
        <x:f>E9*'Inputs'!$D$8</x:f>
        <x:v>15.290099999999999</x:v>
      </x:c>
      <x:c r="F45" s="31" t="n">
        <x:f>F9*'Inputs'!$D$8</x:f>
        <x:v>63.756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30" t="str">
        <x:v>Managed monthly revenue per member</x:v>
      </x:c>
      <x:c r="D46" s="31" t="n">
        <x:f>'Inputs'!$D$6+MAX(0,D45-'Inputs'!$D$7)+D52</x:f>
        <x:v>29</x:v>
      </x:c>
      <x:c r="E46" s="31" t="n">
        <x:f>'Inputs'!$D$6+MAX(0,E45-'Inputs'!$D$7)+E52</x:f>
        <x:v>34.290099999999995</x:v>
      </x:c>
      <x:c r="F46" s="31" t="n">
        <x:f>'Inputs'!$D$6+MAX(0,F45-'Inputs'!$D$7)+F52</x:f>
        <x:v>93.178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 t="str">
        <x:v>Included tools, storage + background</x:v>
      </x:c>
      <x:c r="D48" s="27" t="n">
        <x:f>SUM(D13:D20)+D33</x:f>
        <x:v>2.37705208</x:v>
      </x:c>
      <x:c r="E48" s="27" t="n">
        <x:f>SUM(E13:E20)+E33</x:f>
        <x:v>7.0113354</x:v>
      </x:c>
      <x:c r="F48" s="27" t="n">
        <x:f>SUM(F13:F20)+F33</x:f>
        <x:v>23.097276</x:v>
      </x:c>
      <x:c r="G48" s="1"/>
      <x:c r="H48" s="1" t="str">
        <x:v>All search/fetch, transcription, Git bytes/transfer, snapshots and background are seat-funded.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 t="str">
        <x:v>Sandbox overage vendor cost</x:v>
      </x:c>
      <x:c r="D49" s="27" t="n">
        <x:f>MAX(0,'Workloads'!D8*'Inputs'!$D$39-'Inputs'!$D$70)*3600*'Inputs'!$D$40</x:f>
        <x:v>0</x:v>
      </x:c>
      <x:c r="E49" s="27" t="n">
        <x:f>MAX(0,'Workloads'!E8*'Inputs'!$D$39-'Inputs'!$D$70)*3600*'Inputs'!$D$40</x:f>
        <x:v>0</x:v>
      </x:c>
      <x:c r="F49" s="27" t="n">
        <x:f>MAX(0,'Workloads'!F8*'Inputs'!$D$39-'Inputs'!$D$70)*3600*'Inputs'!$D$40</x:f>
        <x:v>2.484</x:v>
      </x:c>
      <x:c r="G49" s="1"/>
      <x:c r="H49" s="1" t="str">
        <x:v>Only usage above pooled sandbox/browser allowances incurs runtime overage.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 t="str">
        <x:v>Browser overage vendor cost</x:v>
      </x:c>
      <x:c r="D50" s="27" t="n">
        <x:f>MAX(0,'Workloads'!D9-'Inputs'!$D$71)*'Inputs'!$D$41</x:f>
        <x:v>0</x:v>
      </x:c>
      <x:c r="E50" s="27" t="n">
        <x:f>MAX(0,'Workloads'!E9-'Inputs'!$D$71)*'Inputs'!$D$41</x:f>
        <x:v>0</x:v>
      </x:c>
      <x:c r="F50" s="27" t="n">
        <x:f>MAX(0,'Workloads'!F9-'Inputs'!$D$71)*'Inputs'!$D$41</x:f>
        <x:v>0.99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 t="str">
        <x:v>Runtime overage vendor subtotal</x:v>
      </x:c>
      <x:c r="D51" s="27" t="n">
        <x:f>SUM(D49:D50)</x:f>
        <x:v>0</x:v>
      </x:c>
      <x:c r="E51" s="27" t="n">
        <x:f>SUM(E49:E50)</x:f>
        <x:v>0</x:v>
      </x:c>
      <x:c r="F51" s="27" t="n">
        <x:f>SUM(F49:F50)</x:f>
        <x:v>3.474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 t="str">
        <x:v>Retail runtime overage per member</x:v>
      </x:c>
      <x:c r="D52" s="27" t="n">
        <x:f>D51*'Inputs'!$D$8</x:f>
        <x:v>0</x:v>
      </x:c>
      <x:c r="E52" s="27" t="n">
        <x:f>E51*'Inputs'!$D$8</x:f>
        <x:v>0</x:v>
      </x:c>
      <x:c r="F52" s="27" t="n">
        <x:f>F51*'Inputs'!$D$8</x:f>
        <x:v>10.422</x:v>
      </x:c>
      <x:c r="G52" s="1"/>
      <x:c r="H52" s="1" t="str">
        <x:v>AI allowance does not pay runtime overage; prepaid purchased balance can settle either.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Scenarios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Policy</x:v>
      </x:c>
      <x:c r="D5" s="7" t="str">
        <x:v>Seat $</x:v>
      </x:c>
      <x:c r="E5" s="7" t="str">
        <x:v>Grant/seat</x:v>
      </x:c>
      <x:c r="F5" s="7" t="str">
        <x:v>AI rate x</x:v>
      </x:c>
      <x:c r="G5" s="7" t="str">
        <x:v>LLM offload</x:v>
      </x:c>
      <x:c r="H5" s="7" t="str">
        <x:v>Base $</x:v>
      </x:c>
      <x:c r="I5" s="7" t="str">
        <x:v>Base seats</x:v>
      </x:c>
      <x:c r="J5" s="7" t="str">
        <x:v>Extra seat $</x:v>
      </x:c>
      <x:c r="K5" s="7" t="str">
        <x:v>External sub $</x:v>
      </x:c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Managed</x:v>
      </x:c>
      <x:c r="D6" s="1" t="n">
        <x:f>'Inputs'!$D$6</x:f>
        <x:v>29</x:v>
      </x:c>
      <x:c r="E6" s="1" t="n">
        <x:f>'Inputs'!$D$7</x:f>
        <x:v>10</x:v>
      </x:c>
      <x:c r="F6" s="1" t="n">
        <x:f>'Inputs'!$D$8</x:f>
        <x:v>3</x:v>
      </x:c>
      <x:c r="G6" s="1" t="n">
        <x:v>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/>
      <x:c r="M6" s="1" t="str">
        <x:v>Legacy assumes every direct cost is debited; current code misses some meters. Legacy margins are optimistic.</x:v>
      </x:c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Legacy $20 / $20</x:v>
      </x:c>
      <x:c r="D7" s="1" t="n">
        <x:v>20</x:v>
      </x:c>
      <x:c r="E7" s="1" t="n">
        <x:v>20</x:v>
      </x:c>
      <x:c r="F7" s="1" t="n">
        <x:v>1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/>
      <x:c r="M7" s="1" t="str">
        <x:v>At-cost/1.25x applies only to inference. All revised plans use the same included runtime and 3x runtime overage.</x:v>
      </x:c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Flat $29 unlimited</x:v>
      </x:c>
      <x:c r="D8" s="1" t="n">
        <x:v>29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/>
      <x:c r="M8" s="1" t="str">
        <x:v>BYOK: provider bills user inference. Search, voice, code storage and normal runtime remain included.</x:v>
      </x:c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Seat + API at cost</x:v>
      </x:c>
      <x:c r="D9" s="1" t="n">
        <x:v>29</x:v>
      </x:c>
      <x:c r="E9" s="1" t="n">
        <x:v>0</x:v>
      </x:c>
      <x:c r="F9" s="1" t="n">
        <x:v>1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/>
      <x:c r="M9" s="1" t="str">
        <x:v>BYOS: 60% avoided Lor inference expense, conditional on eligible integration; $20/member illustrative, no quota guarantee.</x:v>
      </x:c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Seat + API at 1.25x</x:v>
      </x:c>
      <x:c r="D10" s="1" t="n">
        <x:v>29</x:v>
      </x:c>
      <x:c r="E10" s="1" t="n">
        <x:v>0</x:v>
      </x:c>
      <x:c r="F10" s="1" t="n">
        <x:v>1.25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/>
      <x:c r="M10" s="1" t="str">
        <x:v>Workspace alternative: $99/5 seats then $15; $20 total AI allowance. Same per-member runtime allowances.</x:v>
      </x:c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BYO API key</x:v>
      </x:c>
      <x:c r="D11" s="1" t="n">
        <x:f>'Inputs'!$D$6</x:f>
        <x:v>29</x:v>
      </x:c>
      <x:c r="E11" s="1" t="n">
        <x:f>'Inputs'!$D$7</x:f>
        <x:v>10</x:v>
      </x:c>
      <x:c r="F11" s="1" t="n">
        <x:f>'Inputs'!$D$8</x:f>
        <x:v>3</x:v>
      </x:c>
      <x:c r="G11" s="1" t="n">
        <x:v>1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/>
      <x:c r="M11" s="1" t="str">
        <x:v>Same bundle $39 is a price comparison only. The Managed base case remains $29.</x:v>
      </x:c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BYO sub conditional</x:v>
      </x:c>
      <x:c r="D12" s="1" t="n">
        <x:f>'Inputs'!$D$6</x:f>
        <x:v>29</x:v>
      </x:c>
      <x:c r="E12" s="1" t="n">
        <x:f>'Inputs'!$D$7</x:f>
        <x:v>10</x:v>
      </x:c>
      <x:c r="F12" s="1" t="n">
        <x:f>'Inputs'!$D$8</x:f>
        <x:v>3</x:v>
      </x:c>
      <x:c r="G12" s="1" t="n">
        <x:f>'Inputs'!$D$68</x:f>
        <x:v>0.6</x:v>
      </x:c>
      <x:c r="H12" s="1" t="n">
        <x:v>0</x:v>
      </x:c>
      <x:c r="I12" s="1" t="n">
        <x:v>0</x:v>
      </x:c>
      <x:c r="J12" s="1" t="n">
        <x:v>0</x:v>
      </x:c>
      <x:c r="K12" s="1" t="n">
        <x:f>'Inputs'!$D$69</x:f>
        <x:v>20</x:v>
      </x:c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Workspace + seats</x:v>
      </x:c>
      <x:c r="D13" s="1" t="n">
        <x:v>0</x:v>
      </x:c>
      <x:c r="E13" s="1" t="n">
        <x:v>0</x:v>
      </x:c>
      <x:c r="F13" s="1" t="n">
        <x:v>3</x:v>
      </x:c>
      <x:c r="G13" s="1" t="n">
        <x:v>0</x:v>
      </x:c>
      <x:c r="H13" s="1" t="n">
        <x:v>99</x:v>
      </x:c>
      <x:c r="I13" s="1" t="n">
        <x:v>5</x:v>
      </x:c>
      <x:c r="J13" s="1" t="n">
        <x:v>15</x:v>
      </x:c>
      <x:c r="K13" s="1" t="n">
        <x:v>0</x:v>
      </x:c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Same bundle $39</x:v>
      </x:c>
      <x:c r="D14" s="1" t="n">
        <x:f>'Inputs'!$D$72</x:f>
        <x:v>39</x:v>
      </x:c>
      <x:c r="E14" s="1" t="n">
        <x:f>'Inputs'!$D$7</x:f>
        <x:v>10</x:v>
      </x:c>
      <x:c r="F14" s="1" t="n">
        <x:f>'Inputs'!$D$8</x:f>
        <x:v>3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30" customHeight="1">
      <x:c r="A16" s="1"/>
      <x:c r="B16" s="1"/>
      <x:c r="C16" s="7" t="str">
        <x:v>Policy</x:v>
      </x:c>
      <x:c r="D16" s="7" t="str">
        <x:v>Workload</x:v>
      </x:c>
      <x:c r="E16" s="7" t="str">
        <x:v>Seats</x:v>
      </x:c>
      <x:c r="F16" s="7" t="str">
        <x:v>Seat revenue</x:v>
      </x:c>
      <x:c r="G16" s="7" t="str">
        <x:v>AI retail / legacy</x:v>
      </x:c>
      <x:c r="H16" s="7" t="str">
        <x:v>AI allowance</x:v>
      </x:c>
      <x:c r="I16" s="7" t="str">
        <x:v>AI + runtime overage</x:v>
      </x:c>
      <x:c r="J16" s="7" t="str">
        <x:v>Lor revenue</x:v>
      </x:c>
      <x:c r="K16" s="7" t="str">
        <x:v>Vendor cost</x:v>
      </x:c>
      <x:c r="L16" s="7" t="str">
        <x:v>Buffered cost</x:v>
      </x:c>
      <x:c r="M16" s="7" t="str">
        <x:v>Support</x:v>
      </x:c>
      <x:c r="N16" s="7" t="str">
        <x:v>Fleet alloc.</x:v>
      </x:c>
      <x:c r="O16" s="7" t="str">
        <x:v>Fees</x:v>
      </x:c>
      <x:c r="P16" s="7" t="str">
        <x:v>Total cost</x:v>
      </x:c>
      <x:c r="Q16" s="7" t="str">
        <x:v>Contribution</x:v>
      </x:c>
      <x:c r="R16" s="7" t="str">
        <x:v>Margin</x:v>
      </x:c>
      <x:c r="S16" s="7" t="str">
        <x:v>External cost</x:v>
      </x:c>
      <x:c r="T16" s="7" t="str">
        <x:v>Customer total</x:v>
      </x:c>
    </x:row>
    <x:row r="17" ht="22" customHeight="1">
      <x:c r="A17" s="1"/>
      <x:c r="B17" s="1"/>
      <x:c r="C17" s="1" t="str">
        <x:v>Managed</x:v>
      </x:c>
      <x:c r="D17" s="1" t="str">
        <x:v>Light</x:v>
      </x:c>
      <x:c r="E17" s="1" t="n">
        <x:v>3</x:v>
      </x:c>
      <x:c r="F17" s="27" t="n">
        <x:f>IF($H$6&gt;0,$H$6+MAX(0,E17-$I$6)*$J$6,MAX(E17,'Inputs'!$D$9)*$D$6)</x:f>
        <x:v>87</x:v>
      </x:c>
      <x:c r="G17" s="27" t="n">
        <x:f>E17*'Cost Build'!D9*(1-$G$6)*$F$6</x:f>
        <x:v>14.345100000000002</x:v>
      </x:c>
      <x:c r="H17" s="27" t="n">
        <x:f>IF($H$6&gt;0,20,MAX(E17,'Inputs'!$D$9)*$E$6)</x:f>
        <x:v>30</x:v>
      </x:c>
      <x:c r="I17" s="27" t="n">
        <x:f>MAX(0,G17-H17)+E17*'Cost Build'!D52</x:f>
        <x:v>0</x:v>
      </x:c>
      <x:c r="J17" s="27" t="n">
        <x:f>F17+I17</x:f>
        <x:v>87</x:v>
      </x:c>
      <x:c r="K17" s="27" t="n">
        <x:f>E17*('Cost Build'!D9*(1-$G$6)+'Cost Build'!D21+'Cost Build'!D33)</x:f>
        <x:v>12.409656239999999</x:v>
      </x:c>
      <x:c r="L17" s="27" t="n">
        <x:f>K17*(1+'Inputs'!$D$54)</x:f>
        <x:v>13.650621864</x:v>
      </x:c>
      <x:c r="M17" s="27" t="n">
        <x:f>E17*'Inputs'!$D$55</x:f>
        <x:v>4.5</x:v>
      </x:c>
      <x:c r="N17" s="27" t="n">
        <x:f>'Fleet'!$D$17</x:f>
        <x:v>14.5</x:v>
      </x:c>
      <x:c r="O17" s="27" t="n">
        <x:f>J17*'Inputs'!$D$56+'Inputs'!$D$57</x:f>
        <x:v>3.4319999999999995</x:v>
      </x:c>
      <x:c r="P17" s="27" t="n">
        <x:f>SUM(L17:O17)</x:f>
        <x:v>36.082621864000004</x:v>
      </x:c>
      <x:c r="Q17" s="27" t="n">
        <x:f>J17-P17</x:f>
        <x:v>50.917378135999996</x:v>
      </x:c>
      <x:c r="R17" s="33" t="n">
        <x:f>Q17/J17</x:f>
        <x:v>0.5852572199540229</x:v>
      </x:c>
      <x:c r="S17" s="27" t="n">
        <x:f>0</x:f>
        <x:v>0</x:v>
      </x:c>
      <x:c r="T17" s="27" t="n">
        <x:f>J17+S17</x:f>
        <x:v>87</x:v>
      </x:c>
    </x:row>
    <x:row r="18" ht="22" customHeight="1">
      <x:c r="A18" s="1"/>
      <x:c r="B18" s="1"/>
      <x:c r="C18" s="1" t="str">
        <x:v>Managed</x:v>
      </x:c>
      <x:c r="D18" s="1" t="str">
        <x:v>Light</x:v>
      </x:c>
      <x:c r="E18" s="1" t="n">
        <x:v>5</x:v>
      </x:c>
      <x:c r="F18" s="27" t="n">
        <x:f>IF($H$6&gt;0,$H$6+MAX(0,E18-$I$6)*$J$6,MAX(E18,'Inputs'!$D$9)*$D$6)</x:f>
        <x:v>145</x:v>
      </x:c>
      <x:c r="G18" s="27" t="n">
        <x:f>E18*'Cost Build'!D9*(1-$G$6)*$F$6</x:f>
        <x:v>23.9085</x:v>
      </x:c>
      <x:c r="H18" s="27" t="n">
        <x:f>IF($H$6&gt;0,20,MAX(E18,'Inputs'!$D$9)*$E$6)</x:f>
        <x:v>50</x:v>
      </x:c>
      <x:c r="I18" s="27" t="n">
        <x:f>MAX(0,G18-H18)+E18*'Cost Build'!D52</x:f>
        <x:v>0</x:v>
      </x:c>
      <x:c r="J18" s="27" t="n">
        <x:f>F18+I18</x:f>
        <x:v>145</x:v>
      </x:c>
      <x:c r="K18" s="27" t="n">
        <x:f>E18*('Cost Build'!D9*(1-$G$6)+'Cost Build'!D21+'Cost Build'!D33)</x:f>
        <x:v>20.6827604</x:v>
      </x:c>
      <x:c r="L18" s="27" t="n">
        <x:f>K18*(1+'Inputs'!$D$54)</x:f>
        <x:v>22.75103644</x:v>
      </x:c>
      <x:c r="M18" s="27" t="n">
        <x:f>E18*'Inputs'!$D$55</x:f>
        <x:v>7.5</x:v>
      </x:c>
      <x:c r="N18" s="27" t="n">
        <x:f>'Fleet'!$D$17</x:f>
        <x:v>14.5</x:v>
      </x:c>
      <x:c r="O18" s="27" t="n">
        <x:f>J18*'Inputs'!$D$56+'Inputs'!$D$57</x:f>
        <x:v>5.52</x:v>
      </x:c>
      <x:c r="P18" s="27" t="n">
        <x:f>SUM(L18:O18)</x:f>
        <x:v>50.27103644</x:v>
      </x:c>
      <x:c r="Q18" s="27" t="n">
        <x:f>J18-P18</x:f>
        <x:v>94.72896356</x:v>
      </x:c>
      <x:c r="R18" s="33" t="n">
        <x:f>Q18/J18</x:f>
        <x:v>0.6533031969655172</x:v>
      </x:c>
      <x:c r="S18" s="27" t="n">
        <x:f>0</x:f>
        <x:v>0</x:v>
      </x:c>
      <x:c r="T18" s="27" t="n">
        <x:f>J18+S18</x:f>
        <x:v>145</x:v>
      </x:c>
    </x:row>
    <x:row r="19" ht="22" customHeight="1">
      <x:c r="A19" s="1"/>
      <x:c r="B19" s="1"/>
      <x:c r="C19" s="1" t="str">
        <x:v>Managed</x:v>
      </x:c>
      <x:c r="D19" s="1" t="str">
        <x:v>Light</x:v>
      </x:c>
      <x:c r="E19" s="1" t="n">
        <x:v>10</x:v>
      </x:c>
      <x:c r="F19" s="27" t="n">
        <x:f>IF($H$6&gt;0,$H$6+MAX(0,E19-$I$6)*$J$6,MAX(E19,'Inputs'!$D$9)*$D$6)</x:f>
        <x:v>290</x:v>
      </x:c>
      <x:c r="G19" s="27" t="n">
        <x:f>E19*'Cost Build'!D9*(1-$G$6)*$F$6</x:f>
        <x:v>47.817</x:v>
      </x:c>
      <x:c r="H19" s="27" t="n">
        <x:f>IF($H$6&gt;0,20,MAX(E19,'Inputs'!$D$9)*$E$6)</x:f>
        <x:v>100</x:v>
      </x:c>
      <x:c r="I19" s="27" t="n">
        <x:f>MAX(0,G19-H19)+E19*'Cost Build'!D52</x:f>
        <x:v>0</x:v>
      </x:c>
      <x:c r="J19" s="27" t="n">
        <x:f>F19+I19</x:f>
        <x:v>290</x:v>
      </x:c>
      <x:c r="K19" s="27" t="n">
        <x:f>E19*('Cost Build'!D9*(1-$G$6)+'Cost Build'!D21+'Cost Build'!D33)</x:f>
        <x:v>41.3655208</x:v>
      </x:c>
      <x:c r="L19" s="27" t="n">
        <x:f>K19*(1+'Inputs'!$D$54)</x:f>
        <x:v>45.50207288</x:v>
      </x:c>
      <x:c r="M19" s="27" t="n">
        <x:f>E19*'Inputs'!$D$55</x:f>
        <x:v>15</x:v>
      </x:c>
      <x:c r="N19" s="27" t="n">
        <x:f>'Fleet'!$D$17</x:f>
        <x:v>14.5</x:v>
      </x:c>
      <x:c r="O19" s="27" t="n">
        <x:f>J19*'Inputs'!$D$56+'Inputs'!$D$57</x:f>
        <x:v>10.74</x:v>
      </x:c>
      <x:c r="P19" s="27" t="n">
        <x:f>SUM(L19:O19)</x:f>
        <x:v>85.74207288</x:v>
      </x:c>
      <x:c r="Q19" s="27" t="n">
        <x:f>J19-P19</x:f>
        <x:v>204.25792712</x:v>
      </x:c>
      <x:c r="R19" s="33" t="n">
        <x:f>Q19/J19</x:f>
        <x:v>0.704337679724138</x:v>
      </x:c>
      <x:c r="S19" s="27" t="n">
        <x:f>0</x:f>
        <x:v>0</x:v>
      </x:c>
      <x:c r="T19" s="27" t="n">
        <x:f>J19+S19</x:f>
        <x:v>290</x:v>
      </x:c>
    </x:row>
    <x:row r="20" ht="22" customHeight="1">
      <x:c r="A20" s="1"/>
      <x:c r="B20" s="1"/>
      <x:c r="C20" s="1" t="str">
        <x:v>Managed</x:v>
      </x:c>
      <x:c r="D20" s="1" t="str">
        <x:v>Light</x:v>
      </x:c>
      <x:c r="E20" s="1" t="n">
        <x:v>20</x:v>
      </x:c>
      <x:c r="F20" s="27" t="n">
        <x:f>IF($H$6&gt;0,$H$6+MAX(0,E20-$I$6)*$J$6,MAX(E20,'Inputs'!$D$9)*$D$6)</x:f>
        <x:v>580</x:v>
      </x:c>
      <x:c r="G20" s="27" t="n">
        <x:f>E20*'Cost Build'!D9*(1-$G$6)*$F$6</x:f>
        <x:v>95.634</x:v>
      </x:c>
      <x:c r="H20" s="27" t="n">
        <x:f>IF($H$6&gt;0,20,MAX(E20,'Inputs'!$D$9)*$E$6)</x:f>
        <x:v>200</x:v>
      </x:c>
      <x:c r="I20" s="27" t="n">
        <x:f>MAX(0,G20-H20)+E20*'Cost Build'!D52</x:f>
        <x:v>0</x:v>
      </x:c>
      <x:c r="J20" s="27" t="n">
        <x:f>F20+I20</x:f>
        <x:v>580</x:v>
      </x:c>
      <x:c r="K20" s="27" t="n">
        <x:f>E20*('Cost Build'!D9*(1-$G$6)+'Cost Build'!D21+'Cost Build'!D33)</x:f>
        <x:v>82.7310416</x:v>
      </x:c>
      <x:c r="L20" s="27" t="n">
        <x:f>K20*(1+'Inputs'!$D$54)</x:f>
        <x:v>91.00414576</x:v>
      </x:c>
      <x:c r="M20" s="27" t="n">
        <x:f>E20*'Inputs'!$D$55</x:f>
        <x:v>30</x:v>
      </x:c>
      <x:c r="N20" s="27" t="n">
        <x:f>'Fleet'!$D$17</x:f>
        <x:v>14.5</x:v>
      </x:c>
      <x:c r="O20" s="27" t="n">
        <x:f>J20*'Inputs'!$D$56+'Inputs'!$D$57</x:f>
        <x:v>21.18</x:v>
      </x:c>
      <x:c r="P20" s="27" t="n">
        <x:f>SUM(L20:O20)</x:f>
        <x:v>156.68414576</x:v>
      </x:c>
      <x:c r="Q20" s="27" t="n">
        <x:f>J20-P20</x:f>
        <x:v>423.31585424</x:v>
      </x:c>
      <x:c r="R20" s="33" t="n">
        <x:f>Q20/J20</x:f>
        <x:v>0.7298549211034483</x:v>
      </x:c>
      <x:c r="S20" s="27" t="n">
        <x:f>0</x:f>
        <x:v>0</x:v>
      </x:c>
      <x:c r="T20" s="27" t="n">
        <x:f>J20+S20</x:f>
        <x:v>580</x:v>
      </x:c>
    </x:row>
    <x:row r="21" ht="22" customHeight="1">
      <x:c r="A21" s="1"/>
      <x:c r="B21" s="1"/>
      <x:c r="C21" s="1" t="str">
        <x:v>Managed</x:v>
      </x:c>
      <x:c r="D21" s="1" t="str">
        <x:v>Light</x:v>
      </x:c>
      <x:c r="E21" s="1" t="n">
        <x:v>50</x:v>
      </x:c>
      <x:c r="F21" s="27" t="n">
        <x:f>IF($H$6&gt;0,$H$6+MAX(0,E21-$I$6)*$J$6,MAX(E21,'Inputs'!$D$9)*$D$6)</x:f>
        <x:v>1450</x:v>
      </x:c>
      <x:c r="G21" s="27" t="n">
        <x:f>E21*'Cost Build'!D9*(1-$G$6)*$F$6</x:f>
        <x:v>239.08500000000004</x:v>
      </x:c>
      <x:c r="H21" s="27" t="n">
        <x:f>IF($H$6&gt;0,20,MAX(E21,'Inputs'!$D$9)*$E$6)</x:f>
        <x:v>500</x:v>
      </x:c>
      <x:c r="I21" s="27" t="n">
        <x:f>MAX(0,G21-H21)+E21*'Cost Build'!D52</x:f>
        <x:v>0</x:v>
      </x:c>
      <x:c r="J21" s="27" t="n">
        <x:f>F21+I21</x:f>
        <x:v>1450</x:v>
      </x:c>
      <x:c r="K21" s="27" t="n">
        <x:f>E21*('Cost Build'!D9*(1-$G$6)+'Cost Build'!D21+'Cost Build'!D33)</x:f>
        <x:v>206.82760399999998</x:v>
      </x:c>
      <x:c r="L21" s="27" t="n">
        <x:f>K21*(1+'Inputs'!$D$54)</x:f>
        <x:v>227.5103644</x:v>
      </x:c>
      <x:c r="M21" s="27" t="n">
        <x:f>E21*'Inputs'!$D$55</x:f>
        <x:v>75</x:v>
      </x:c>
      <x:c r="N21" s="27" t="n">
        <x:f>'Fleet'!$D$17</x:f>
        <x:v>14.5</x:v>
      </x:c>
      <x:c r="O21" s="27" t="n">
        <x:f>J21*'Inputs'!$D$56+'Inputs'!$D$57</x:f>
        <x:v>52.49999999999999</x:v>
      </x:c>
      <x:c r="P21" s="27" t="n">
        <x:f>SUM(L21:O21)</x:f>
        <x:v>369.51036439999996</x:v>
      </x:c>
      <x:c r="Q21" s="27" t="n">
        <x:f>J21-P21</x:f>
        <x:v>1080.4896356</x:v>
      </x:c>
      <x:c r="R21" s="33" t="n">
        <x:f>Q21/J21</x:f>
        <x:v>0.7451652659310344</x:v>
      </x:c>
      <x:c r="S21" s="27" t="n">
        <x:f>0</x:f>
        <x:v>0</x:v>
      </x:c>
      <x:c r="T21" s="27" t="n">
        <x:f>J21+S21</x:f>
        <x:v>1450</x:v>
      </x:c>
    </x:row>
    <x:row r="22" ht="22" customHeight="1">
      <x:c r="A22" s="1"/>
      <x:c r="B22" s="1"/>
      <x:c r="C22" s="1" t="str">
        <x:v>Managed</x:v>
      </x:c>
      <x:c r="D22" s="1" t="str">
        <x:v>Light</x:v>
      </x:c>
      <x:c r="E22" s="1" t="n">
        <x:v>100</x:v>
      </x:c>
      <x:c r="F22" s="27" t="n">
        <x:f>IF($H$6&gt;0,$H$6+MAX(0,E22-$I$6)*$J$6,MAX(E22,'Inputs'!$D$9)*$D$6)</x:f>
        <x:v>2900</x:v>
      </x:c>
      <x:c r="G22" s="27" t="n">
        <x:f>E22*'Cost Build'!D9*(1-$G$6)*$F$6</x:f>
        <x:v>478.1700000000001</x:v>
      </x:c>
      <x:c r="H22" s="27" t="n">
        <x:f>IF($H$6&gt;0,20,MAX(E22,'Inputs'!$D$9)*$E$6)</x:f>
        <x:v>1000</x:v>
      </x:c>
      <x:c r="I22" s="27" t="n">
        <x:f>MAX(0,G22-H22)+E22*'Cost Build'!D52</x:f>
        <x:v>0</x:v>
      </x:c>
      <x:c r="J22" s="27" t="n">
        <x:f>F22+I22</x:f>
        <x:v>2900</x:v>
      </x:c>
      <x:c r="K22" s="27" t="n">
        <x:f>E22*('Cost Build'!D9*(1-$G$6)+'Cost Build'!D21+'Cost Build'!D33)</x:f>
        <x:v>413.65520799999996</x:v>
      </x:c>
      <x:c r="L22" s="27" t="n">
        <x:f>K22*(1+'Inputs'!$D$54)</x:f>
        <x:v>455.0207288</x:v>
      </x:c>
      <x:c r="M22" s="27" t="n">
        <x:f>E22*'Inputs'!$D$55</x:f>
        <x:v>150</x:v>
      </x:c>
      <x:c r="N22" s="27" t="n">
        <x:f>'Fleet'!$D$17</x:f>
        <x:v>14.5</x:v>
      </x:c>
      <x:c r="O22" s="27" t="n">
        <x:f>J22*'Inputs'!$D$56+'Inputs'!$D$57</x:f>
        <x:v>104.69999999999999</x:v>
      </x:c>
      <x:c r="P22" s="27" t="n">
        <x:f>SUM(L22:O22)</x:f>
        <x:v>724.2207288</x:v>
      </x:c>
      <x:c r="Q22" s="27" t="n">
        <x:f>J22-P22</x:f>
        <x:v>2175.7792712</x:v>
      </x:c>
      <x:c r="R22" s="33" t="n">
        <x:f>Q22/J22</x:f>
        <x:v>0.7502687142068966</x:v>
      </x:c>
      <x:c r="S22" s="27" t="n">
        <x:f>0</x:f>
        <x:v>0</x:v>
      </x:c>
      <x:c r="T22" s="27" t="n">
        <x:f>J22+S22</x:f>
        <x:v>2900</x:v>
      </x:c>
    </x:row>
    <x:row r="23" ht="22" customHeight="1">
      <x:c r="A23" s="1"/>
      <x:c r="B23" s="1"/>
      <x:c r="C23" s="1" t="str">
        <x:v>Managed</x:v>
      </x:c>
      <x:c r="D23" s="1" t="str">
        <x:v>Typical</x:v>
      </x:c>
      <x:c r="E23" s="1" t="n">
        <x:v>3</x:v>
      </x:c>
      <x:c r="F23" s="27" t="n">
        <x:f>IF($H$6&gt;0,$H$6+MAX(0,E23-$I$6)*$J$6,MAX(E23,'Inputs'!$D$9)*$D$6)</x:f>
        <x:v>87</x:v>
      </x:c>
      <x:c r="G23" s="27" t="n">
        <x:f>E23*'Cost Build'!E9*(1-$G$6)*$F$6</x:f>
        <x:v>45.8703</x:v>
      </x:c>
      <x:c r="H23" s="27" t="n">
        <x:f>IF($H$6&gt;0,20,MAX(E23,'Inputs'!$D$9)*$E$6)</x:f>
        <x:v>30</x:v>
      </x:c>
      <x:c r="I23" s="27" t="n">
        <x:f>MAX(0,G23-H23)+E23*'Cost Build'!E52</x:f>
        <x:v>15.8703</x:v>
      </x:c>
      <x:c r="J23" s="27" t="n">
        <x:f>F23+I23</x:f>
        <x:v>102.8703</x:v>
      </x:c>
      <x:c r="K23" s="27" t="n">
        <x:f>E23*('Cost Build'!E9*(1-$G$6)+'Cost Build'!E21+'Cost Build'!E33)</x:f>
        <x:v>39.9961062</x:v>
      </x:c>
      <x:c r="L23" s="27" t="n">
        <x:f>K23*(1+'Inputs'!$D$54)</x:f>
        <x:v>43.995716820000005</x:v>
      </x:c>
      <x:c r="M23" s="27" t="n">
        <x:f>E23*'Inputs'!$D$55</x:f>
        <x:v>4.5</x:v>
      </x:c>
      <x:c r="N23" s="27" t="n">
        <x:f>'Fleet'!$D$17</x:f>
        <x:v>14.5</x:v>
      </x:c>
      <x:c r="O23" s="27" t="n">
        <x:f>J23*'Inputs'!$D$56+'Inputs'!$D$57</x:f>
        <x:v>4.0033308</x:v>
      </x:c>
      <x:c r="P23" s="27" t="n">
        <x:f>SUM(L23:O23)</x:f>
        <x:v>66.99904762</x:v>
      </x:c>
      <x:c r="Q23" s="27" t="n">
        <x:f>J23-P23</x:f>
        <x:v>35.87125238</x:v>
      </x:c>
      <x:c r="R23" s="33" t="n">
        <x:f>Q23/J23</x:f>
        <x:v>0.34870368201512003</x:v>
      </x:c>
      <x:c r="S23" s="27" t="n">
        <x:f>0</x:f>
        <x:v>0</x:v>
      </x:c>
      <x:c r="T23" s="27" t="n">
        <x:f>J23+S23</x:f>
        <x:v>102.8703</x:v>
      </x:c>
    </x:row>
    <x:row r="24" ht="22" customHeight="1">
      <x:c r="A24" s="1"/>
      <x:c r="B24" s="1"/>
      <x:c r="C24" s="1" t="str">
        <x:v>Managed</x:v>
      </x:c>
      <x:c r="D24" s="1" t="str">
        <x:v>Typical</x:v>
      </x:c>
      <x:c r="E24" s="1" t="n">
        <x:v>5</x:v>
      </x:c>
      <x:c r="F24" s="27" t="n">
        <x:f>IF($H$6&gt;0,$H$6+MAX(0,E24-$I$6)*$J$6,MAX(E24,'Inputs'!$D$9)*$D$6)</x:f>
        <x:v>145</x:v>
      </x:c>
      <x:c r="G24" s="27" t="n">
        <x:f>E24*'Cost Build'!E9*(1-$G$6)*$F$6</x:f>
        <x:v>76.45049999999999</x:v>
      </x:c>
      <x:c r="H24" s="27" t="n">
        <x:f>IF($H$6&gt;0,20,MAX(E24,'Inputs'!$D$9)*$E$6)</x:f>
        <x:v>50</x:v>
      </x:c>
      <x:c r="I24" s="27" t="n">
        <x:f>MAX(0,G24-H24)+E24*'Cost Build'!E52</x:f>
        <x:v>26.45049999999999</x:v>
      </x:c>
      <x:c r="J24" s="27" t="n">
        <x:f>F24+I24</x:f>
        <x:v>171.45049999999998</x:v>
      </x:c>
      <x:c r="K24" s="27" t="n">
        <x:f>E24*('Cost Build'!E9*(1-$G$6)+'Cost Build'!E21+'Cost Build'!E33)</x:f>
        <x:v>66.66017699999999</x:v>
      </x:c>
      <x:c r="L24" s="27" t="n">
        <x:f>K24*(1+'Inputs'!$D$54)</x:f>
        <x:v>73.3261947</x:v>
      </x:c>
      <x:c r="M24" s="27" t="n">
        <x:f>E24*'Inputs'!$D$55</x:f>
        <x:v>7.5</x:v>
      </x:c>
      <x:c r="N24" s="27" t="n">
        <x:f>'Fleet'!$D$17</x:f>
        <x:v>14.5</x:v>
      </x:c>
      <x:c r="O24" s="27" t="n">
        <x:f>J24*'Inputs'!$D$56+'Inputs'!$D$57</x:f>
        <x:v>6.472217999999999</x:v>
      </x:c>
      <x:c r="P24" s="27" t="n">
        <x:f>SUM(L24:O24)</x:f>
        <x:v>101.7984127</x:v>
      </x:c>
      <x:c r="Q24" s="27" t="n">
        <x:f>J24-P24</x:f>
        <x:v>69.65208729999998</x:v>
      </x:c>
      <x:c r="R24" s="33" t="n">
        <x:f>Q24/J24</x:f>
        <x:v>0.40625187619750297</x:v>
      </x:c>
      <x:c r="S24" s="27" t="n">
        <x:f>0</x:f>
        <x:v>0</x:v>
      </x:c>
      <x:c r="T24" s="27" t="n">
        <x:f>J24+S24</x:f>
        <x:v>171.45049999999998</x:v>
      </x:c>
    </x:row>
    <x:row r="25" ht="22" customHeight="1">
      <x:c r="A25" s="1"/>
      <x:c r="B25" s="1"/>
      <x:c r="C25" s="1" t="str">
        <x:v>Managed</x:v>
      </x:c>
      <x:c r="D25" s="1" t="str">
        <x:v>Typical</x:v>
      </x:c>
      <x:c r="E25" s="1" t="n">
        <x:v>10</x:v>
      </x:c>
      <x:c r="F25" s="27" t="n">
        <x:f>IF($H$6&gt;0,$H$6+MAX(0,E25-$I$6)*$J$6,MAX(E25,'Inputs'!$D$9)*$D$6)</x:f>
        <x:v>290</x:v>
      </x:c>
      <x:c r="G25" s="27" t="n">
        <x:f>E25*'Cost Build'!E9*(1-$G$6)*$F$6</x:f>
        <x:v>152.90099999999998</x:v>
      </x:c>
      <x:c r="H25" s="27" t="n">
        <x:f>IF($H$6&gt;0,20,MAX(E25,'Inputs'!$D$9)*$E$6)</x:f>
        <x:v>100</x:v>
      </x:c>
      <x:c r="I25" s="27" t="n">
        <x:f>MAX(0,G25-H25)+E25*'Cost Build'!E52</x:f>
        <x:v>52.90099999999998</x:v>
      </x:c>
      <x:c r="J25" s="27" t="n">
        <x:f>F25+I25</x:f>
        <x:v>342.90099999999995</x:v>
      </x:c>
      <x:c r="K25" s="27" t="n">
        <x:f>E25*('Cost Build'!E9*(1-$G$6)+'Cost Build'!E21+'Cost Build'!E33)</x:f>
        <x:v>133.32035399999998</x:v>
      </x:c>
      <x:c r="L25" s="27" t="n">
        <x:f>K25*(1+'Inputs'!$D$54)</x:f>
        <x:v>146.6523894</x:v>
      </x:c>
      <x:c r="M25" s="27" t="n">
        <x:f>E25*'Inputs'!$D$55</x:f>
        <x:v>15</x:v>
      </x:c>
      <x:c r="N25" s="27" t="n">
        <x:f>'Fleet'!$D$17</x:f>
        <x:v>14.5</x:v>
      </x:c>
      <x:c r="O25" s="27" t="n">
        <x:f>J25*'Inputs'!$D$56+'Inputs'!$D$57</x:f>
        <x:v>12.644435999999999</x:v>
      </x:c>
      <x:c r="P25" s="27" t="n">
        <x:f>SUM(L25:O25)</x:f>
        <x:v>188.7968254</x:v>
      </x:c>
      <x:c r="Q25" s="27" t="n">
        <x:f>J25-P25</x:f>
        <x:v>154.10417459999996</x:v>
      </x:c>
      <x:c r="R25" s="33" t="n">
        <x:f>Q25/J25</x:f>
        <x:v>0.4494130218342903</x:v>
      </x:c>
      <x:c r="S25" s="27" t="n">
        <x:f>0</x:f>
        <x:v>0</x:v>
      </x:c>
      <x:c r="T25" s="27" t="n">
        <x:f>J25+S25</x:f>
        <x:v>342.90099999999995</x:v>
      </x:c>
    </x:row>
    <x:row r="26" ht="22" customHeight="1">
      <x:c r="A26" s="1"/>
      <x:c r="B26" s="1"/>
      <x:c r="C26" s="1" t="str">
        <x:v>Managed</x:v>
      </x:c>
      <x:c r="D26" s="1" t="str">
        <x:v>Typical</x:v>
      </x:c>
      <x:c r="E26" s="1" t="n">
        <x:v>20</x:v>
      </x:c>
      <x:c r="F26" s="27" t="n">
        <x:f>IF($H$6&gt;0,$H$6+MAX(0,E26-$I$6)*$J$6,MAX(E26,'Inputs'!$D$9)*$D$6)</x:f>
        <x:v>580</x:v>
      </x:c>
      <x:c r="G26" s="27" t="n">
        <x:f>E26*'Cost Build'!E9*(1-$G$6)*$F$6</x:f>
        <x:v>305.80199999999996</x:v>
      </x:c>
      <x:c r="H26" s="27" t="n">
        <x:f>IF($H$6&gt;0,20,MAX(E26,'Inputs'!$D$9)*$E$6)</x:f>
        <x:v>200</x:v>
      </x:c>
      <x:c r="I26" s="27" t="n">
        <x:f>MAX(0,G26-H26)+E26*'Cost Build'!E52</x:f>
        <x:v>105.80199999999996</x:v>
      </x:c>
      <x:c r="J26" s="27" t="n">
        <x:f>F26+I26</x:f>
        <x:v>685.8019999999999</x:v>
      </x:c>
      <x:c r="K26" s="27" t="n">
        <x:f>E26*('Cost Build'!E9*(1-$G$6)+'Cost Build'!E21+'Cost Build'!E33)</x:f>
        <x:v>266.64070799999996</x:v>
      </x:c>
      <x:c r="L26" s="27" t="n">
        <x:f>K26*(1+'Inputs'!$D$54)</x:f>
        <x:v>293.3047788</x:v>
      </x:c>
      <x:c r="M26" s="27" t="n">
        <x:f>E26*'Inputs'!$D$55</x:f>
        <x:v>30</x:v>
      </x:c>
      <x:c r="N26" s="27" t="n">
        <x:f>'Fleet'!$D$17</x:f>
        <x:v>14.5</x:v>
      </x:c>
      <x:c r="O26" s="27" t="n">
        <x:f>J26*'Inputs'!$D$56+'Inputs'!$D$57</x:f>
        <x:v>24.988871999999997</x:v>
      </x:c>
      <x:c r="P26" s="27" t="n">
        <x:f>SUM(L26:O26)</x:f>
        <x:v>362.7936508</x:v>
      </x:c>
      <x:c r="Q26" s="27" t="n">
        <x:f>J26-P26</x:f>
        <x:v>323.0083491999999</x:v>
      </x:c>
      <x:c r="R26" s="33" t="n">
        <x:f>Q26/J26</x:f>
        <x:v>0.4709935946526839</x:v>
      </x:c>
      <x:c r="S26" s="27" t="n">
        <x:f>0</x:f>
        <x:v>0</x:v>
      </x:c>
      <x:c r="T26" s="27" t="n">
        <x:f>J26+S26</x:f>
        <x:v>685.8019999999999</x:v>
      </x:c>
    </x:row>
    <x:row r="27" ht="22" customHeight="1">
      <x:c r="A27" s="1"/>
      <x:c r="B27" s="1"/>
      <x:c r="C27" s="1" t="str">
        <x:v>Managed</x:v>
      </x:c>
      <x:c r="D27" s="1" t="str">
        <x:v>Typical</x:v>
      </x:c>
      <x:c r="E27" s="1" t="n">
        <x:v>50</x:v>
      </x:c>
      <x:c r="F27" s="27" t="n">
        <x:f>IF($H$6&gt;0,$H$6+MAX(0,E27-$I$6)*$J$6,MAX(E27,'Inputs'!$D$9)*$D$6)</x:f>
        <x:v>1450</x:v>
      </x:c>
      <x:c r="G27" s="27" t="n">
        <x:f>E27*'Cost Build'!E9*(1-$G$6)*$F$6</x:f>
        <x:v>764.5049999999999</x:v>
      </x:c>
      <x:c r="H27" s="27" t="n">
        <x:f>IF($H$6&gt;0,20,MAX(E27,'Inputs'!$D$9)*$E$6)</x:f>
        <x:v>500</x:v>
      </x:c>
      <x:c r="I27" s="27" t="n">
        <x:f>MAX(0,G27-H27)+E27*'Cost Build'!E52</x:f>
        <x:v>264.5049999999999</x:v>
      </x:c>
      <x:c r="J27" s="27" t="n">
        <x:f>F27+I27</x:f>
        <x:v>1714.5049999999999</x:v>
      </x:c>
      <x:c r="K27" s="27" t="n">
        <x:f>E27*('Cost Build'!E9*(1-$G$6)+'Cost Build'!E21+'Cost Build'!E33)</x:f>
        <x:v>666.60177</x:v>
      </x:c>
      <x:c r="L27" s="27" t="n">
        <x:f>K27*(1+'Inputs'!$D$54)</x:f>
        <x:v>733.2619470000001</x:v>
      </x:c>
      <x:c r="M27" s="27" t="n">
        <x:f>E27*'Inputs'!$D$55</x:f>
        <x:v>75</x:v>
      </x:c>
      <x:c r="N27" s="27" t="n">
        <x:f>'Fleet'!$D$17</x:f>
        <x:v>14.5</x:v>
      </x:c>
      <x:c r="O27" s="27" t="n">
        <x:f>J27*'Inputs'!$D$56+'Inputs'!$D$57</x:f>
        <x:v>62.02217999999999</x:v>
      </x:c>
      <x:c r="P27" s="27" t="n">
        <x:f>SUM(L27:O27)</x:f>
        <x:v>884.7841270000001</x:v>
      </x:c>
      <x:c r="Q27" s="27" t="n">
        <x:f>J27-P27</x:f>
        <x:v>829.7208729999998</x:v>
      </x:c>
      <x:c r="R27" s="33" t="n">
        <x:f>Q27/J27</x:f>
        <x:v>0.48394193834372007</x:v>
      </x:c>
      <x:c r="S27" s="27" t="n">
        <x:f>0</x:f>
        <x:v>0</x:v>
      </x:c>
      <x:c r="T27" s="27" t="n">
        <x:f>J27+S27</x:f>
        <x:v>1714.5049999999999</x:v>
      </x:c>
    </x:row>
    <x:row r="28" ht="22" customHeight="1">
      <x:c r="A28" s="1"/>
      <x:c r="B28" s="1"/>
      <x:c r="C28" s="1" t="str">
        <x:v>Managed</x:v>
      </x:c>
      <x:c r="D28" s="1" t="str">
        <x:v>Typical</x:v>
      </x:c>
      <x:c r="E28" s="1" t="n">
        <x:v>100</x:v>
      </x:c>
      <x:c r="F28" s="27" t="n">
        <x:f>IF($H$6&gt;0,$H$6+MAX(0,E28-$I$6)*$J$6,MAX(E28,'Inputs'!$D$9)*$D$6)</x:f>
        <x:v>2900</x:v>
      </x:c>
      <x:c r="G28" s="27" t="n">
        <x:f>E28*'Cost Build'!E9*(1-$G$6)*$F$6</x:f>
        <x:v>1529.0099999999998</x:v>
      </x:c>
      <x:c r="H28" s="27" t="n">
        <x:f>IF($H$6&gt;0,20,MAX(E28,'Inputs'!$D$9)*$E$6)</x:f>
        <x:v>1000</x:v>
      </x:c>
      <x:c r="I28" s="27" t="n">
        <x:f>MAX(0,G28-H28)+E28*'Cost Build'!E52</x:f>
        <x:v>529.0099999999998</x:v>
      </x:c>
      <x:c r="J28" s="27" t="n">
        <x:f>F28+I28</x:f>
        <x:v>3429.0099999999998</x:v>
      </x:c>
      <x:c r="K28" s="27" t="n">
        <x:f>E28*('Cost Build'!E9*(1-$G$6)+'Cost Build'!E21+'Cost Build'!E33)</x:f>
        <x:v>1333.20354</x:v>
      </x:c>
      <x:c r="L28" s="27" t="n">
        <x:f>K28*(1+'Inputs'!$D$54)</x:f>
        <x:v>1466.5238940000002</x:v>
      </x:c>
      <x:c r="M28" s="27" t="n">
        <x:f>E28*'Inputs'!$D$55</x:f>
        <x:v>150</x:v>
      </x:c>
      <x:c r="N28" s="27" t="n">
        <x:f>'Fleet'!$D$17</x:f>
        <x:v>14.5</x:v>
      </x:c>
      <x:c r="O28" s="27" t="n">
        <x:f>J28*'Inputs'!$D$56+'Inputs'!$D$57</x:f>
        <x:v>123.74435999999999</x:v>
      </x:c>
      <x:c r="P28" s="27" t="n">
        <x:f>SUM(L28:O28)</x:f>
        <x:v>1754.768254</x:v>
      </x:c>
      <x:c r="Q28" s="27" t="n">
        <x:f>J28-P28</x:f>
        <x:v>1674.2417459999997</x:v>
      </x:c>
      <x:c r="R28" s="33" t="n">
        <x:f>Q28/J28</x:f>
        <x:v>0.4882580529073989</x:v>
      </x:c>
      <x:c r="S28" s="27" t="n">
        <x:f>0</x:f>
        <x:v>0</x:v>
      </x:c>
      <x:c r="T28" s="27" t="n">
        <x:f>J28+S28</x:f>
        <x:v>3429.0099999999998</x:v>
      </x:c>
    </x:row>
    <x:row r="29" ht="22" customHeight="1">
      <x:c r="A29" s="1"/>
      <x:c r="B29" s="1"/>
      <x:c r="C29" s="1" t="str">
        <x:v>Managed</x:v>
      </x:c>
      <x:c r="D29" s="1" t="str">
        <x:v>Heavy</x:v>
      </x:c>
      <x:c r="E29" s="1" t="n">
        <x:v>3</x:v>
      </x:c>
      <x:c r="F29" s="27" t="n">
        <x:f>IF($H$6&gt;0,$H$6+MAX(0,E29-$I$6)*$J$6,MAX(E29,'Inputs'!$D$9)*$D$6)</x:f>
        <x:v>87</x:v>
      </x:c>
      <x:c r="G29" s="27" t="n">
        <x:f>E29*'Cost Build'!F9*(1-$G$6)*$F$6</x:f>
        <x:v>191.268</x:v>
      </x:c>
      <x:c r="H29" s="27" t="n">
        <x:f>IF($H$6&gt;0,20,MAX(E29,'Inputs'!$D$9)*$E$6)</x:f>
        <x:v>30</x:v>
      </x:c>
      <x:c r="I29" s="27" t="n">
        <x:f>MAX(0,G29-H29)+E29*'Cost Build'!F52</x:f>
        <x:v>192.534</x:v>
      </x:c>
      <x:c r="J29" s="27" t="n">
        <x:f>F29+I29</x:f>
        <x:v>279.534</x:v>
      </x:c>
      <x:c r="K29" s="27" t="n">
        <x:f>E29*('Cost Build'!F9*(1-$G$6)+'Cost Build'!F21+'Cost Build'!F33)</x:f>
        <x:v>151.407828</x:v>
      </x:c>
      <x:c r="L29" s="27" t="n">
        <x:f>K29*(1+'Inputs'!$D$54)</x:f>
        <x:v>166.5486108</x:v>
      </x:c>
      <x:c r="M29" s="27" t="n">
        <x:f>E29*'Inputs'!$D$55</x:f>
        <x:v>4.5</x:v>
      </x:c>
      <x:c r="N29" s="27" t="n">
        <x:f>'Fleet'!$D$17</x:f>
        <x:v>14.5</x:v>
      </x:c>
      <x:c r="O29" s="27" t="n">
        <x:f>J29*'Inputs'!$D$56+'Inputs'!$D$57</x:f>
        <x:v>10.363223999999999</x:v>
      </x:c>
      <x:c r="P29" s="27" t="n">
        <x:f>SUM(L29:O29)</x:f>
        <x:v>195.9118348</x:v>
      </x:c>
      <x:c r="Q29" s="27" t="n">
        <x:f>J29-P29</x:f>
        <x:v>83.62216519999998</x:v>
      </x:c>
      <x:c r="R29" s="33" t="n">
        <x:f>Q29/J29</x:f>
        <x:v>0.29914845850594196</x:v>
      </x:c>
      <x:c r="S29" s="27" t="n">
        <x:f>0</x:f>
        <x:v>0</x:v>
      </x:c>
      <x:c r="T29" s="27" t="n">
        <x:f>J29+S29</x:f>
        <x:v>279.534</x:v>
      </x:c>
    </x:row>
    <x:row r="30" ht="22" customHeight="1">
      <x:c r="A30" s="1"/>
      <x:c r="B30" s="1"/>
      <x:c r="C30" s="1" t="str">
        <x:v>Managed</x:v>
      </x:c>
      <x:c r="D30" s="1" t="str">
        <x:v>Heavy</x:v>
      </x:c>
      <x:c r="E30" s="1" t="n">
        <x:v>5</x:v>
      </x:c>
      <x:c r="F30" s="27" t="n">
        <x:f>IF($H$6&gt;0,$H$6+MAX(0,E30-$I$6)*$J$6,MAX(E30,'Inputs'!$D$9)*$D$6)</x:f>
        <x:v>145</x:v>
      </x:c>
      <x:c r="G30" s="27" t="n">
        <x:f>E30*'Cost Build'!F9*(1-$G$6)*$F$6</x:f>
        <x:v>318.78</x:v>
      </x:c>
      <x:c r="H30" s="27" t="n">
        <x:f>IF($H$6&gt;0,20,MAX(E30,'Inputs'!$D$9)*$E$6)</x:f>
        <x:v>50</x:v>
      </x:c>
      <x:c r="I30" s="27" t="n">
        <x:f>MAX(0,G30-H30)+E30*'Cost Build'!F52</x:f>
        <x:v>320.89</x:v>
      </x:c>
      <x:c r="J30" s="27" t="n">
        <x:f>F30+I30</x:f>
        <x:v>465.89</x:v>
      </x:c>
      <x:c r="K30" s="27" t="n">
        <x:f>E30*('Cost Build'!F9*(1-$G$6)+'Cost Build'!F21+'Cost Build'!F33)</x:f>
        <x:v>252.34638</x:v>
      </x:c>
      <x:c r="L30" s="27" t="n">
        <x:f>K30*(1+'Inputs'!$D$54)</x:f>
        <x:v>277.58101800000003</x:v>
      </x:c>
      <x:c r="M30" s="27" t="n">
        <x:f>E30*'Inputs'!$D$55</x:f>
        <x:v>7.5</x:v>
      </x:c>
      <x:c r="N30" s="27" t="n">
        <x:f>'Fleet'!$D$17</x:f>
        <x:v>14.5</x:v>
      </x:c>
      <x:c r="O30" s="27" t="n">
        <x:f>J30*'Inputs'!$D$56+'Inputs'!$D$57</x:f>
        <x:v>17.072039999999998</x:v>
      </x:c>
      <x:c r="P30" s="27" t="n">
        <x:f>SUM(L30:O30)</x:f>
        <x:v>316.65305800000004</x:v>
      </x:c>
      <x:c r="Q30" s="27" t="n">
        <x:f>J30-P30</x:f>
        <x:v>149.23694199999994</x:v>
      </x:c>
      <x:c r="R30" s="33" t="n">
        <x:f>Q30/J30</x:f>
        <x:v>0.3203265620640064</x:v>
      </x:c>
      <x:c r="S30" s="27" t="n">
        <x:f>0</x:f>
        <x:v>0</x:v>
      </x:c>
      <x:c r="T30" s="27" t="n">
        <x:f>J30+S30</x:f>
        <x:v>465.89</x:v>
      </x:c>
    </x:row>
    <x:row r="31" ht="22" customHeight="1">
      <x:c r="A31" s="1"/>
      <x:c r="B31" s="1"/>
      <x:c r="C31" s="1" t="str">
        <x:v>Managed</x:v>
      </x:c>
      <x:c r="D31" s="1" t="str">
        <x:v>Heavy</x:v>
      </x:c>
      <x:c r="E31" s="1" t="n">
        <x:v>10</x:v>
      </x:c>
      <x:c r="F31" s="27" t="n">
        <x:f>IF($H$6&gt;0,$H$6+MAX(0,E31-$I$6)*$J$6,MAX(E31,'Inputs'!$D$9)*$D$6)</x:f>
        <x:v>290</x:v>
      </x:c>
      <x:c r="G31" s="27" t="n">
        <x:f>E31*'Cost Build'!F9*(1-$G$6)*$F$6</x:f>
        <x:v>637.56</x:v>
      </x:c>
      <x:c r="H31" s="27" t="n">
        <x:f>IF($H$6&gt;0,20,MAX(E31,'Inputs'!$D$9)*$E$6)</x:f>
        <x:v>100</x:v>
      </x:c>
      <x:c r="I31" s="27" t="n">
        <x:f>MAX(0,G31-H31)+E31*'Cost Build'!F52</x:f>
        <x:v>641.78</x:v>
      </x:c>
      <x:c r="J31" s="27" t="n">
        <x:f>F31+I31</x:f>
        <x:v>931.78</x:v>
      </x:c>
      <x:c r="K31" s="27" t="n">
        <x:f>E31*('Cost Build'!F9*(1-$G$6)+'Cost Build'!F21+'Cost Build'!F33)</x:f>
        <x:v>504.69276</x:v>
      </x:c>
      <x:c r="L31" s="27" t="n">
        <x:f>K31*(1+'Inputs'!$D$54)</x:f>
        <x:v>555.1620360000001</x:v>
      </x:c>
      <x:c r="M31" s="27" t="n">
        <x:f>E31*'Inputs'!$D$55</x:f>
        <x:v>15</x:v>
      </x:c>
      <x:c r="N31" s="27" t="n">
        <x:f>'Fleet'!$D$17</x:f>
        <x:v>14.5</x:v>
      </x:c>
      <x:c r="O31" s="27" t="n">
        <x:f>J31*'Inputs'!$D$56+'Inputs'!$D$57</x:f>
        <x:v>33.84407999999999</x:v>
      </x:c>
      <x:c r="P31" s="27" t="n">
        <x:f>SUM(L31:O31)</x:f>
        <x:v>618.506116</x:v>
      </x:c>
      <x:c r="Q31" s="27" t="n">
        <x:f>J31-P31</x:f>
        <x:v>313.27388399999995</x:v>
      </x:c>
      <x:c r="R31" s="33" t="n">
        <x:f>Q31/J31</x:f>
        <x:v>0.33621013973255487</x:v>
      </x:c>
      <x:c r="S31" s="27" t="n">
        <x:f>0</x:f>
        <x:v>0</x:v>
      </x:c>
      <x:c r="T31" s="27" t="n">
        <x:f>J31+S31</x:f>
        <x:v>931.78</x:v>
      </x:c>
    </x:row>
    <x:row r="32" ht="22" customHeight="1">
      <x:c r="A32" s="1"/>
      <x:c r="B32" s="1"/>
      <x:c r="C32" s="1" t="str">
        <x:v>Managed</x:v>
      </x:c>
      <x:c r="D32" s="1" t="str">
        <x:v>Heavy</x:v>
      </x:c>
      <x:c r="E32" s="1" t="n">
        <x:v>20</x:v>
      </x:c>
      <x:c r="F32" s="27" t="n">
        <x:f>IF($H$6&gt;0,$H$6+MAX(0,E32-$I$6)*$J$6,MAX(E32,'Inputs'!$D$9)*$D$6)</x:f>
        <x:v>580</x:v>
      </x:c>
      <x:c r="G32" s="27" t="n">
        <x:f>E32*'Cost Build'!F9*(1-$G$6)*$F$6</x:f>
        <x:v>1275.12</x:v>
      </x:c>
      <x:c r="H32" s="27" t="n">
        <x:f>IF($H$6&gt;0,20,MAX(E32,'Inputs'!$D$9)*$E$6)</x:f>
        <x:v>200</x:v>
      </x:c>
      <x:c r="I32" s="27" t="n">
        <x:f>MAX(0,G32-H32)+E32*'Cost Build'!F52</x:f>
        <x:v>1283.56</x:v>
      </x:c>
      <x:c r="J32" s="27" t="n">
        <x:f>F32+I32</x:f>
        <x:v>1863.56</x:v>
      </x:c>
      <x:c r="K32" s="27" t="n">
        <x:f>E32*('Cost Build'!F9*(1-$G$6)+'Cost Build'!F21+'Cost Build'!F33)</x:f>
        <x:v>1009.38552</x:v>
      </x:c>
      <x:c r="L32" s="27" t="n">
        <x:f>K32*(1+'Inputs'!$D$54)</x:f>
        <x:v>1110.3240720000001</x:v>
      </x:c>
      <x:c r="M32" s="27" t="n">
        <x:f>E32*'Inputs'!$D$55</x:f>
        <x:v>30</x:v>
      </x:c>
      <x:c r="N32" s="27" t="n">
        <x:f>'Fleet'!$D$17</x:f>
        <x:v>14.5</x:v>
      </x:c>
      <x:c r="O32" s="27" t="n">
        <x:f>J32*'Inputs'!$D$56+'Inputs'!$D$57</x:f>
        <x:v>67.38815999999998</x:v>
      </x:c>
      <x:c r="P32" s="27" t="n">
        <x:f>SUM(L32:O32)</x:f>
        <x:v>1222.212232</x:v>
      </x:c>
      <x:c r="Q32" s="27" t="n">
        <x:f>J32-P32</x:f>
        <x:v>641.3477679999999</x:v>
      </x:c>
      <x:c r="R32" s="33" t="n">
        <x:f>Q32/J32</x:f>
        <x:v>0.344151928566829</x:v>
      </x:c>
      <x:c r="S32" s="27" t="n">
        <x:f>0</x:f>
        <x:v>0</x:v>
      </x:c>
      <x:c r="T32" s="27" t="n">
        <x:f>J32+S32</x:f>
        <x:v>1863.56</x:v>
      </x:c>
    </x:row>
    <x:row r="33" ht="22" customHeight="1">
      <x:c r="A33" s="1"/>
      <x:c r="B33" s="1"/>
      <x:c r="C33" s="1" t="str">
        <x:v>Managed</x:v>
      </x:c>
      <x:c r="D33" s="1" t="str">
        <x:v>Heavy</x:v>
      </x:c>
      <x:c r="E33" s="1" t="n">
        <x:v>50</x:v>
      </x:c>
      <x:c r="F33" s="27" t="n">
        <x:f>IF($H$6&gt;0,$H$6+MAX(0,E33-$I$6)*$J$6,MAX(E33,'Inputs'!$D$9)*$D$6)</x:f>
        <x:v>1450</x:v>
      </x:c>
      <x:c r="G33" s="27" t="n">
        <x:f>E33*'Cost Build'!F9*(1-$G$6)*$F$6</x:f>
        <x:v>3187.7999999999997</x:v>
      </x:c>
      <x:c r="H33" s="27" t="n">
        <x:f>IF($H$6&gt;0,20,MAX(E33,'Inputs'!$D$9)*$E$6)</x:f>
        <x:v>500</x:v>
      </x:c>
      <x:c r="I33" s="27" t="n">
        <x:f>MAX(0,G33-H33)+E33*'Cost Build'!F52</x:f>
        <x:v>3208.8999999999996</x:v>
      </x:c>
      <x:c r="J33" s="27" t="n">
        <x:f>F33+I33</x:f>
        <x:v>4658.9</x:v>
      </x:c>
      <x:c r="K33" s="27" t="n">
        <x:f>E33*('Cost Build'!F9*(1-$G$6)+'Cost Build'!F21+'Cost Build'!F33)</x:f>
        <x:v>2523.4638</x:v>
      </x:c>
      <x:c r="L33" s="27" t="n">
        <x:f>K33*(1+'Inputs'!$D$54)</x:f>
        <x:v>2775.8101800000004</x:v>
      </x:c>
      <x:c r="M33" s="27" t="n">
        <x:f>E33*'Inputs'!$D$55</x:f>
        <x:v>75</x:v>
      </x:c>
      <x:c r="N33" s="27" t="n">
        <x:f>'Fleet'!$D$17</x:f>
        <x:v>14.5</x:v>
      </x:c>
      <x:c r="O33" s="27" t="n">
        <x:f>J33*'Inputs'!$D$56+'Inputs'!$D$57</x:f>
        <x:v>168.0204</x:v>
      </x:c>
      <x:c r="P33" s="27" t="n">
        <x:f>SUM(L33:O33)</x:f>
        <x:v>3033.3305800000003</x:v>
      </x:c>
      <x:c r="Q33" s="27" t="n">
        <x:f>J33-P33</x:f>
        <x:v>1625.5694199999994</x:v>
      </x:c>
      <x:c r="R33" s="33" t="n">
        <x:f>Q33/J33</x:f>
        <x:v>0.3489170018673935</x:v>
      </x:c>
      <x:c r="S33" s="27" t="n">
        <x:f>0</x:f>
        <x:v>0</x:v>
      </x:c>
      <x:c r="T33" s="27" t="n">
        <x:f>J33+S33</x:f>
        <x:v>4658.9</x:v>
      </x:c>
    </x:row>
    <x:row r="34" ht="22" customHeight="1">
      <x:c r="A34" s="1"/>
      <x:c r="B34" s="1"/>
      <x:c r="C34" s="1" t="str">
        <x:v>Managed</x:v>
      </x:c>
      <x:c r="D34" s="1" t="str">
        <x:v>Heavy</x:v>
      </x:c>
      <x:c r="E34" s="1" t="n">
        <x:v>100</x:v>
      </x:c>
      <x:c r="F34" s="27" t="n">
        <x:f>IF($H$6&gt;0,$H$6+MAX(0,E34-$I$6)*$J$6,MAX(E34,'Inputs'!$D$9)*$D$6)</x:f>
        <x:v>2900</x:v>
      </x:c>
      <x:c r="G34" s="27" t="n">
        <x:f>E34*'Cost Build'!F9*(1-$G$6)*$F$6</x:f>
        <x:v>6375.599999999999</x:v>
      </x:c>
      <x:c r="H34" s="27" t="n">
        <x:f>IF($H$6&gt;0,20,MAX(E34,'Inputs'!$D$9)*$E$6)</x:f>
        <x:v>1000</x:v>
      </x:c>
      <x:c r="I34" s="27" t="n">
        <x:f>MAX(0,G34-H34)+E34*'Cost Build'!F52</x:f>
        <x:v>6417.799999999999</x:v>
      </x:c>
      <x:c r="J34" s="27" t="n">
        <x:f>F34+I34</x:f>
        <x:v>9317.8</x:v>
      </x:c>
      <x:c r="K34" s="27" t="n">
        <x:f>E34*('Cost Build'!F9*(1-$G$6)+'Cost Build'!F21+'Cost Build'!F33)</x:f>
        <x:v>5046.9276</x:v>
      </x:c>
      <x:c r="L34" s="27" t="n">
        <x:f>K34*(1+'Inputs'!$D$54)</x:f>
        <x:v>5551.620360000001</x:v>
      </x:c>
      <x:c r="M34" s="27" t="n">
        <x:f>E34*'Inputs'!$D$55</x:f>
        <x:v>150</x:v>
      </x:c>
      <x:c r="N34" s="27" t="n">
        <x:f>'Fleet'!$D$17</x:f>
        <x:v>14.5</x:v>
      </x:c>
      <x:c r="O34" s="27" t="n">
        <x:f>J34*'Inputs'!$D$56+'Inputs'!$D$57</x:f>
        <x:v>335.7408</x:v>
      </x:c>
      <x:c r="P34" s="27" t="n">
        <x:f>SUM(L34:O34)</x:f>
        <x:v>6051.86116</x:v>
      </x:c>
      <x:c r="Q34" s="27" t="n">
        <x:f>J34-P34</x:f>
        <x:v>3265.938839999999</x:v>
      </x:c>
      <x:c r="R34" s="33" t="n">
        <x:f>Q34/J34</x:f>
        <x:v>0.35050535963424834</x:v>
      </x:c>
      <x:c r="S34" s="27" t="n">
        <x:f>0</x:f>
        <x:v>0</x:v>
      </x:c>
      <x:c r="T34" s="27" t="n">
        <x:f>J34+S34</x:f>
        <x:v>9317.8</x:v>
      </x:c>
    </x:row>
    <x:row r="35" ht="22" customHeight="1">
      <x:c r="A35" s="1"/>
      <x:c r="B35" s="1"/>
      <x:c r="C35" s="1" t="str">
        <x:v>Legacy $20 / $20</x:v>
      </x:c>
      <x:c r="D35" s="1" t="str">
        <x:v>Light</x:v>
      </x:c>
      <x:c r="E35" s="1" t="n">
        <x:v>3</x:v>
      </x:c>
      <x:c r="F35" s="27" t="n">
        <x:f>IF($H$7&gt;0,$H$7+MAX(0,E35-$I$7)*$J$7,MAX(E35,'Inputs'!$D$9)*$D$7)</x:f>
        <x:v>60</x:v>
      </x:c>
      <x:c r="G35" s="27" t="n">
        <x:f>E35*('Cost Build'!D9+'Cost Build'!D21)*$F$7</x:f>
        <x:v>7.2885</x:v>
      </x:c>
      <x:c r="H35" s="27" t="n">
        <x:f>IF($H$7&gt;0,20,MAX(E35,'Inputs'!$D$9)*$E$7)</x:f>
        <x:v>60</x:v>
      </x:c>
      <x:c r="I35" s="27" t="n">
        <x:f>MAX(0,G35-H35)</x:f>
        <x:v>0</x:v>
      </x:c>
      <x:c r="J35" s="27" t="n">
        <x:f>F35+I35</x:f>
        <x:v>60</x:v>
      </x:c>
      <x:c r="K35" s="27" t="n">
        <x:f>E35*('Cost Build'!D9*(1-$G$7)+'Cost Build'!D21+'Cost Build'!D33)</x:f>
        <x:v>12.409656239999999</x:v>
      </x:c>
      <x:c r="L35" s="27" t="n">
        <x:f>K35*(1+'Inputs'!$D$54)</x:f>
        <x:v>13.650621864</x:v>
      </x:c>
      <x:c r="M35" s="27" t="n">
        <x:f>E35*'Inputs'!$D$55</x:f>
        <x:v>4.5</x:v>
      </x:c>
      <x:c r="N35" s="27" t="n">
        <x:f>'Fleet'!$D$17</x:f>
        <x:v>14.5</x:v>
      </x:c>
      <x:c r="O35" s="27" t="n">
        <x:f>J35*'Inputs'!$D$56+'Inputs'!$D$57</x:f>
        <x:v>2.4599999999999995</x:v>
      </x:c>
      <x:c r="P35" s="27" t="n">
        <x:f>SUM(L35:O35)</x:f>
        <x:v>35.110621864</x:v>
      </x:c>
      <x:c r="Q35" s="27" t="n">
        <x:f>J35-P35</x:f>
        <x:v>24.889378135999998</x:v>
      </x:c>
      <x:c r="R35" s="33" t="n">
        <x:f>Q35/J35</x:f>
        <x:v>0.4148229689333333</x:v>
      </x:c>
      <x:c r="S35" s="27" t="n">
        <x:f>0</x:f>
        <x:v>0</x:v>
      </x:c>
      <x:c r="T35" s="27" t="n">
        <x:f>J35+S35</x:f>
        <x:v>60</x:v>
      </x:c>
    </x:row>
    <x:row r="36" ht="22" customHeight="1">
      <x:c r="A36" s="1"/>
      <x:c r="B36" s="1"/>
      <x:c r="C36" s="1" t="str">
        <x:v>Legacy $20 / $20</x:v>
      </x:c>
      <x:c r="D36" s="1" t="str">
        <x:v>Light</x:v>
      </x:c>
      <x:c r="E36" s="1" t="n">
        <x:v>5</x:v>
      </x:c>
      <x:c r="F36" s="27" t="n">
        <x:f>IF($H$7&gt;0,$H$7+MAX(0,E36-$I$7)*$J$7,MAX(E36,'Inputs'!$D$9)*$D$7)</x:f>
        <x:v>100</x:v>
      </x:c>
      <x:c r="G36" s="27" t="n">
        <x:f>E36*('Cost Build'!D9+'Cost Build'!D21)*$F$7</x:f>
        <x:v>12.1475</x:v>
      </x:c>
      <x:c r="H36" s="27" t="n">
        <x:f>IF($H$7&gt;0,20,MAX(E36,'Inputs'!$D$9)*$E$7)</x:f>
        <x:v>100</x:v>
      </x:c>
      <x:c r="I36" s="27" t="n">
        <x:f>MAX(0,G36-H36)</x:f>
        <x:v>0</x:v>
      </x:c>
      <x:c r="J36" s="27" t="n">
        <x:f>F36+I36</x:f>
        <x:v>100</x:v>
      </x:c>
      <x:c r="K36" s="27" t="n">
        <x:f>E36*('Cost Build'!D9*(1-$G$7)+'Cost Build'!D21+'Cost Build'!D33)</x:f>
        <x:v>20.6827604</x:v>
      </x:c>
      <x:c r="L36" s="27" t="n">
        <x:f>K36*(1+'Inputs'!$D$54)</x:f>
        <x:v>22.75103644</x:v>
      </x:c>
      <x:c r="M36" s="27" t="n">
        <x:f>E36*'Inputs'!$D$55</x:f>
        <x:v>7.5</x:v>
      </x:c>
      <x:c r="N36" s="27" t="n">
        <x:f>'Fleet'!$D$17</x:f>
        <x:v>14.5</x:v>
      </x:c>
      <x:c r="O36" s="27" t="n">
        <x:f>J36*'Inputs'!$D$56+'Inputs'!$D$57</x:f>
        <x:v>3.8999999999999995</x:v>
      </x:c>
      <x:c r="P36" s="27" t="n">
        <x:f>SUM(L36:O36)</x:f>
        <x:v>48.65103644</x:v>
      </x:c>
      <x:c r="Q36" s="27" t="n">
        <x:f>J36-P36</x:f>
        <x:v>51.34896356</x:v>
      </x:c>
      <x:c r="R36" s="33" t="n">
        <x:f>Q36/J36</x:f>
        <x:v>0.5134896356</x:v>
      </x:c>
      <x:c r="S36" s="27" t="n">
        <x:f>0</x:f>
        <x:v>0</x:v>
      </x:c>
      <x:c r="T36" s="27" t="n">
        <x:f>J36+S36</x:f>
        <x:v>100</x:v>
      </x:c>
    </x:row>
    <x:row r="37" ht="22" customHeight="1">
      <x:c r="A37" s="1"/>
      <x:c r="B37" s="1"/>
      <x:c r="C37" s="1" t="str">
        <x:v>Legacy $20 / $20</x:v>
      </x:c>
      <x:c r="D37" s="1" t="str">
        <x:v>Light</x:v>
      </x:c>
      <x:c r="E37" s="1" t="n">
        <x:v>10</x:v>
      </x:c>
      <x:c r="F37" s="27" t="n">
        <x:f>IF($H$7&gt;0,$H$7+MAX(0,E37-$I$7)*$J$7,MAX(E37,'Inputs'!$D$9)*$D$7)</x:f>
        <x:v>200</x:v>
      </x:c>
      <x:c r="G37" s="27" t="n">
        <x:f>E37*('Cost Build'!D9+'Cost Build'!D21)*$F$7</x:f>
        <x:v>24.295</x:v>
      </x:c>
      <x:c r="H37" s="27" t="n">
        <x:f>IF($H$7&gt;0,20,MAX(E37,'Inputs'!$D$9)*$E$7)</x:f>
        <x:v>200</x:v>
      </x:c>
      <x:c r="I37" s="27" t="n">
        <x:f>MAX(0,G37-H37)</x:f>
        <x:v>0</x:v>
      </x:c>
      <x:c r="J37" s="27" t="n">
        <x:f>F37+I37</x:f>
        <x:v>200</x:v>
      </x:c>
      <x:c r="K37" s="27" t="n">
        <x:f>E37*('Cost Build'!D9*(1-$G$7)+'Cost Build'!D21+'Cost Build'!D33)</x:f>
        <x:v>41.3655208</x:v>
      </x:c>
      <x:c r="L37" s="27" t="n">
        <x:f>K37*(1+'Inputs'!$D$54)</x:f>
        <x:v>45.50207288</x:v>
      </x:c>
      <x:c r="M37" s="27" t="n">
        <x:f>E37*'Inputs'!$D$55</x:f>
        <x:v>15</x:v>
      </x:c>
      <x:c r="N37" s="27" t="n">
        <x:f>'Fleet'!$D$17</x:f>
        <x:v>14.5</x:v>
      </x:c>
      <x:c r="O37" s="27" t="n">
        <x:f>J37*'Inputs'!$D$56+'Inputs'!$D$57</x:f>
        <x:v>7.499999999999999</x:v>
      </x:c>
      <x:c r="P37" s="27" t="n">
        <x:f>SUM(L37:O37)</x:f>
        <x:v>82.50207288</x:v>
      </x:c>
      <x:c r="Q37" s="27" t="n">
        <x:f>J37-P37</x:f>
        <x:v>117.49792712</x:v>
      </x:c>
      <x:c r="R37" s="33" t="n">
        <x:f>Q37/J37</x:f>
        <x:v>0.5874896356</x:v>
      </x:c>
      <x:c r="S37" s="27" t="n">
        <x:f>0</x:f>
        <x:v>0</x:v>
      </x:c>
      <x:c r="T37" s="27" t="n">
        <x:f>J37+S37</x:f>
        <x:v>200</x:v>
      </x:c>
    </x:row>
    <x:row r="38" ht="22" customHeight="1">
      <x:c r="A38" s="1"/>
      <x:c r="B38" s="1"/>
      <x:c r="C38" s="1" t="str">
        <x:v>Legacy $20 / $20</x:v>
      </x:c>
      <x:c r="D38" s="1" t="str">
        <x:v>Light</x:v>
      </x:c>
      <x:c r="E38" s="1" t="n">
        <x:v>20</x:v>
      </x:c>
      <x:c r="F38" s="27" t="n">
        <x:f>IF($H$7&gt;0,$H$7+MAX(0,E38-$I$7)*$J$7,MAX(E38,'Inputs'!$D$9)*$D$7)</x:f>
        <x:v>400</x:v>
      </x:c>
      <x:c r="G38" s="27" t="n">
        <x:f>E38*('Cost Build'!D9+'Cost Build'!D21)*$F$7</x:f>
        <x:v>48.59</x:v>
      </x:c>
      <x:c r="H38" s="27" t="n">
        <x:f>IF($H$7&gt;0,20,MAX(E38,'Inputs'!$D$9)*$E$7)</x:f>
        <x:v>400</x:v>
      </x:c>
      <x:c r="I38" s="27" t="n">
        <x:f>MAX(0,G38-H38)</x:f>
        <x:v>0</x:v>
      </x:c>
      <x:c r="J38" s="27" t="n">
        <x:f>F38+I38</x:f>
        <x:v>400</x:v>
      </x:c>
      <x:c r="K38" s="27" t="n">
        <x:f>E38*('Cost Build'!D9*(1-$G$7)+'Cost Build'!D21+'Cost Build'!D33)</x:f>
        <x:v>82.7310416</x:v>
      </x:c>
      <x:c r="L38" s="27" t="n">
        <x:f>K38*(1+'Inputs'!$D$54)</x:f>
        <x:v>91.00414576</x:v>
      </x:c>
      <x:c r="M38" s="27" t="n">
        <x:f>E38*'Inputs'!$D$55</x:f>
        <x:v>30</x:v>
      </x:c>
      <x:c r="N38" s="27" t="n">
        <x:f>'Fleet'!$D$17</x:f>
        <x:v>14.5</x:v>
      </x:c>
      <x:c r="O38" s="27" t="n">
        <x:f>J38*'Inputs'!$D$56+'Inputs'!$D$57</x:f>
        <x:v>14.7</x:v>
      </x:c>
      <x:c r="P38" s="27" t="n">
        <x:f>SUM(L38:O38)</x:f>
        <x:v>150.20414576</x:v>
      </x:c>
      <x:c r="Q38" s="27" t="n">
        <x:f>J38-P38</x:f>
        <x:v>249.79585424</x:v>
      </x:c>
      <x:c r="R38" s="33" t="n">
        <x:f>Q38/J38</x:f>
        <x:v>0.6244896356</x:v>
      </x:c>
      <x:c r="S38" s="27" t="n">
        <x:f>0</x:f>
        <x:v>0</x:v>
      </x:c>
      <x:c r="T38" s="27" t="n">
        <x:f>J38+S38</x:f>
        <x:v>400</x:v>
      </x:c>
    </x:row>
    <x:row r="39" ht="22" customHeight="1">
      <x:c r="A39" s="1"/>
      <x:c r="B39" s="1"/>
      <x:c r="C39" s="1" t="str">
        <x:v>Legacy $20 / $20</x:v>
      </x:c>
      <x:c r="D39" s="1" t="str">
        <x:v>Light</x:v>
      </x:c>
      <x:c r="E39" s="1" t="n">
        <x:v>50</x:v>
      </x:c>
      <x:c r="F39" s="27" t="n">
        <x:f>IF($H$7&gt;0,$H$7+MAX(0,E39-$I$7)*$J$7,MAX(E39,'Inputs'!$D$9)*$D$7)</x:f>
        <x:v>1000</x:v>
      </x:c>
      <x:c r="G39" s="27" t="n">
        <x:f>E39*('Cost Build'!D9+'Cost Build'!D21)*$F$7</x:f>
        <x:v>121.475</x:v>
      </x:c>
      <x:c r="H39" s="27" t="n">
        <x:f>IF($H$7&gt;0,20,MAX(E39,'Inputs'!$D$9)*$E$7)</x:f>
        <x:v>1000</x:v>
      </x:c>
      <x:c r="I39" s="27" t="n">
        <x:f>MAX(0,G39-H39)</x:f>
        <x:v>0</x:v>
      </x:c>
      <x:c r="J39" s="27" t="n">
        <x:f>F39+I39</x:f>
        <x:v>1000</x:v>
      </x:c>
      <x:c r="K39" s="27" t="n">
        <x:f>E39*('Cost Build'!D9*(1-$G$7)+'Cost Build'!D21+'Cost Build'!D33)</x:f>
        <x:v>206.82760399999998</x:v>
      </x:c>
      <x:c r="L39" s="27" t="n">
        <x:f>K39*(1+'Inputs'!$D$54)</x:f>
        <x:v>227.5103644</x:v>
      </x:c>
      <x:c r="M39" s="27" t="n">
        <x:f>E39*'Inputs'!$D$55</x:f>
        <x:v>75</x:v>
      </x:c>
      <x:c r="N39" s="27" t="n">
        <x:f>'Fleet'!$D$17</x:f>
        <x:v>14.5</x:v>
      </x:c>
      <x:c r="O39" s="27" t="n">
        <x:f>J39*'Inputs'!$D$56+'Inputs'!$D$57</x:f>
        <x:v>36.3</x:v>
      </x:c>
      <x:c r="P39" s="27" t="n">
        <x:f>SUM(L39:O39)</x:f>
        <x:v>353.31036439999997</x:v>
      </x:c>
      <x:c r="Q39" s="27" t="n">
        <x:f>J39-P39</x:f>
        <x:v>646.6896356</x:v>
      </x:c>
      <x:c r="R39" s="33" t="n">
        <x:f>Q39/J39</x:f>
        <x:v>0.6466896355999999</x:v>
      </x:c>
      <x:c r="S39" s="27" t="n">
        <x:f>0</x:f>
        <x:v>0</x:v>
      </x:c>
      <x:c r="T39" s="27" t="n">
        <x:f>J39+S39</x:f>
        <x:v>1000</x:v>
      </x:c>
    </x:row>
    <x:row r="40" ht="22" customHeight="1">
      <x:c r="A40" s="1"/>
      <x:c r="B40" s="1"/>
      <x:c r="C40" s="1" t="str">
        <x:v>Legacy $20 / $20</x:v>
      </x:c>
      <x:c r="D40" s="1" t="str">
        <x:v>Light</x:v>
      </x:c>
      <x:c r="E40" s="1" t="n">
        <x:v>100</x:v>
      </x:c>
      <x:c r="F40" s="27" t="n">
        <x:f>IF($H$7&gt;0,$H$7+MAX(0,E40-$I$7)*$J$7,MAX(E40,'Inputs'!$D$9)*$D$7)</x:f>
        <x:v>2000</x:v>
      </x:c>
      <x:c r="G40" s="27" t="n">
        <x:f>E40*('Cost Build'!D9+'Cost Build'!D21)*$F$7</x:f>
        <x:v>242.95</x:v>
      </x:c>
      <x:c r="H40" s="27" t="n">
        <x:f>IF($H$7&gt;0,20,MAX(E40,'Inputs'!$D$9)*$E$7)</x:f>
        <x:v>2000</x:v>
      </x:c>
      <x:c r="I40" s="27" t="n">
        <x:f>MAX(0,G40-H40)</x:f>
        <x:v>0</x:v>
      </x:c>
      <x:c r="J40" s="27" t="n">
        <x:f>F40+I40</x:f>
        <x:v>2000</x:v>
      </x:c>
      <x:c r="K40" s="27" t="n">
        <x:f>E40*('Cost Build'!D9*(1-$G$7)+'Cost Build'!D21+'Cost Build'!D33)</x:f>
        <x:v>413.65520799999996</x:v>
      </x:c>
      <x:c r="L40" s="27" t="n">
        <x:f>K40*(1+'Inputs'!$D$54)</x:f>
        <x:v>455.0207288</x:v>
      </x:c>
      <x:c r="M40" s="27" t="n">
        <x:f>E40*'Inputs'!$D$55</x:f>
        <x:v>150</x:v>
      </x:c>
      <x:c r="N40" s="27" t="n">
        <x:f>'Fleet'!$D$17</x:f>
        <x:v>14.5</x:v>
      </x:c>
      <x:c r="O40" s="27" t="n">
        <x:f>J40*'Inputs'!$D$56+'Inputs'!$D$57</x:f>
        <x:v>72.3</x:v>
      </x:c>
      <x:c r="P40" s="27" t="n">
        <x:f>SUM(L40:O40)</x:f>
        <x:v>691.8207287999999</x:v>
      </x:c>
      <x:c r="Q40" s="27" t="n">
        <x:f>J40-P40</x:f>
        <x:v>1308.1792712000001</x:v>
      </x:c>
      <x:c r="R40" s="33" t="n">
        <x:f>Q40/J40</x:f>
        <x:v>0.6540896356000001</x:v>
      </x:c>
      <x:c r="S40" s="27" t="n">
        <x:f>0</x:f>
        <x:v>0</x:v>
      </x:c>
      <x:c r="T40" s="27" t="n">
        <x:f>J40+S40</x:f>
        <x:v>2000</x:v>
      </x:c>
    </x:row>
    <x:row r="41" ht="22" customHeight="1">
      <x:c r="A41" s="1"/>
      <x:c r="B41" s="1"/>
      <x:c r="C41" s="1" t="str">
        <x:v>Legacy $20 / $20</x:v>
      </x:c>
      <x:c r="D41" s="1" t="str">
        <x:v>Typical</x:v>
      </x:c>
      <x:c r="E41" s="1" t="n">
        <x:v>3</x:v>
      </x:c>
      <x:c r="F41" s="27" t="n">
        <x:f>IF($H$7&gt;0,$H$7+MAX(0,E41-$I$7)*$J$7,MAX(E41,'Inputs'!$D$9)*$D$7)</x:f>
        <x:v>60</x:v>
      </x:c>
      <x:c r="G41" s="27" t="n">
        <x:f>E41*('Cost Build'!E9+'Cost Build'!E21)*$F$7</x:f>
        <x:v>27.633599999999994</x:v>
      </x:c>
      <x:c r="H41" s="27" t="n">
        <x:f>IF($H$7&gt;0,20,MAX(E41,'Inputs'!$D$9)*$E$7)</x:f>
        <x:v>60</x:v>
      </x:c>
      <x:c r="I41" s="27" t="n">
        <x:f>MAX(0,G41-H41)</x:f>
        <x:v>0</x:v>
      </x:c>
      <x:c r="J41" s="27" t="n">
        <x:f>F41+I41</x:f>
        <x:v>60</x:v>
      </x:c>
      <x:c r="K41" s="27" t="n">
        <x:f>E41*('Cost Build'!E9*(1-$G$7)+'Cost Build'!E21+'Cost Build'!E33)</x:f>
        <x:v>39.9961062</x:v>
      </x:c>
      <x:c r="L41" s="27" t="n">
        <x:f>K41*(1+'Inputs'!$D$54)</x:f>
        <x:v>43.995716820000005</x:v>
      </x:c>
      <x:c r="M41" s="27" t="n">
        <x:f>E41*'Inputs'!$D$55</x:f>
        <x:v>4.5</x:v>
      </x:c>
      <x:c r="N41" s="27" t="n">
        <x:f>'Fleet'!$D$17</x:f>
        <x:v>14.5</x:v>
      </x:c>
      <x:c r="O41" s="27" t="n">
        <x:f>J41*'Inputs'!$D$56+'Inputs'!$D$57</x:f>
        <x:v>2.4599999999999995</x:v>
      </x:c>
      <x:c r="P41" s="27" t="n">
        <x:f>SUM(L41:O41)</x:f>
        <x:v>65.45571682</x:v>
      </x:c>
      <x:c r="Q41" s="27" t="n">
        <x:f>J41-P41</x:f>
        <x:v>-5.455716820000006</x:v>
      </x:c>
      <x:c r="R41" s="33" t="n">
        <x:f>Q41/J41</x:f>
        <x:v>-0.09092861366666677</x:v>
      </x:c>
      <x:c r="S41" s="27" t="n">
        <x:f>0</x:f>
        <x:v>0</x:v>
      </x:c>
      <x:c r="T41" s="27" t="n">
        <x:f>J41+S41</x:f>
        <x:v>60</x:v>
      </x:c>
    </x:row>
    <x:row r="42" ht="22" customHeight="1">
      <x:c r="A42" s="1"/>
      <x:c r="B42" s="1"/>
      <x:c r="C42" s="1" t="str">
        <x:v>Legacy $20 / $20</x:v>
      </x:c>
      <x:c r="D42" s="1" t="str">
        <x:v>Typical</x:v>
      </x:c>
      <x:c r="E42" s="1" t="n">
        <x:v>5</x:v>
      </x:c>
      <x:c r="F42" s="27" t="n">
        <x:f>IF($H$7&gt;0,$H$7+MAX(0,E42-$I$7)*$J$7,MAX(E42,'Inputs'!$D$9)*$D$7)</x:f>
        <x:v>100</x:v>
      </x:c>
      <x:c r="G42" s="27" t="n">
        <x:f>E42*('Cost Build'!E9+'Cost Build'!E21)*$F$7</x:f>
        <x:v>46.05599999999999</x:v>
      </x:c>
      <x:c r="H42" s="27" t="n">
        <x:f>IF($H$7&gt;0,20,MAX(E42,'Inputs'!$D$9)*$E$7)</x:f>
        <x:v>100</x:v>
      </x:c>
      <x:c r="I42" s="27" t="n">
        <x:f>MAX(0,G42-H42)</x:f>
        <x:v>0</x:v>
      </x:c>
      <x:c r="J42" s="27" t="n">
        <x:f>F42+I42</x:f>
        <x:v>100</x:v>
      </x:c>
      <x:c r="K42" s="27" t="n">
        <x:f>E42*('Cost Build'!E9*(1-$G$7)+'Cost Build'!E21+'Cost Build'!E33)</x:f>
        <x:v>66.66017699999999</x:v>
      </x:c>
      <x:c r="L42" s="27" t="n">
        <x:f>K42*(1+'Inputs'!$D$54)</x:f>
        <x:v>73.3261947</x:v>
      </x:c>
      <x:c r="M42" s="27" t="n">
        <x:f>E42*'Inputs'!$D$55</x:f>
        <x:v>7.5</x:v>
      </x:c>
      <x:c r="N42" s="27" t="n">
        <x:f>'Fleet'!$D$17</x:f>
        <x:v>14.5</x:v>
      </x:c>
      <x:c r="O42" s="27" t="n">
        <x:f>J42*'Inputs'!$D$56+'Inputs'!$D$57</x:f>
        <x:v>3.8999999999999995</x:v>
      </x:c>
      <x:c r="P42" s="27" t="n">
        <x:f>SUM(L42:O42)</x:f>
        <x:v>99.22619470000001</x:v>
      </x:c>
      <x:c r="Q42" s="27" t="n">
        <x:f>J42-P42</x:f>
        <x:v>0.7738052999999923</x:v>
      </x:c>
      <x:c r="R42" s="33" t="n">
        <x:f>Q42/J42</x:f>
        <x:v>0.007738052999999923</x:v>
      </x:c>
      <x:c r="S42" s="27" t="n">
        <x:f>0</x:f>
        <x:v>0</x:v>
      </x:c>
      <x:c r="T42" s="27" t="n">
        <x:f>J42+S42</x:f>
        <x:v>100</x:v>
      </x:c>
    </x:row>
    <x:row r="43" ht="22" customHeight="1">
      <x:c r="A43" s="1"/>
      <x:c r="B43" s="1"/>
      <x:c r="C43" s="1" t="str">
        <x:v>Legacy $20 / $20</x:v>
      </x:c>
      <x:c r="D43" s="1" t="str">
        <x:v>Typical</x:v>
      </x:c>
      <x:c r="E43" s="1" t="n">
        <x:v>10</x:v>
      </x:c>
      <x:c r="F43" s="27" t="n">
        <x:f>IF($H$7&gt;0,$H$7+MAX(0,E43-$I$7)*$J$7,MAX(E43,'Inputs'!$D$9)*$D$7)</x:f>
        <x:v>200</x:v>
      </x:c>
      <x:c r="G43" s="27" t="n">
        <x:f>E43*('Cost Build'!E9+'Cost Build'!E21)*$F$7</x:f>
        <x:v>92.11199999999998</x:v>
      </x:c>
      <x:c r="H43" s="27" t="n">
        <x:f>IF($H$7&gt;0,20,MAX(E43,'Inputs'!$D$9)*$E$7)</x:f>
        <x:v>200</x:v>
      </x:c>
      <x:c r="I43" s="27" t="n">
        <x:f>MAX(0,G43-H43)</x:f>
        <x:v>0</x:v>
      </x:c>
      <x:c r="J43" s="27" t="n">
        <x:f>F43+I43</x:f>
        <x:v>200</x:v>
      </x:c>
      <x:c r="K43" s="27" t="n">
        <x:f>E43*('Cost Build'!E9*(1-$G$7)+'Cost Build'!E21+'Cost Build'!E33)</x:f>
        <x:v>133.32035399999998</x:v>
      </x:c>
      <x:c r="L43" s="27" t="n">
        <x:f>K43*(1+'Inputs'!$D$54)</x:f>
        <x:v>146.6523894</x:v>
      </x:c>
      <x:c r="M43" s="27" t="n">
        <x:f>E43*'Inputs'!$D$55</x:f>
        <x:v>15</x:v>
      </x:c>
      <x:c r="N43" s="27" t="n">
        <x:f>'Fleet'!$D$17</x:f>
        <x:v>14.5</x:v>
      </x:c>
      <x:c r="O43" s="27" t="n">
        <x:f>J43*'Inputs'!$D$56+'Inputs'!$D$57</x:f>
        <x:v>7.499999999999999</x:v>
      </x:c>
      <x:c r="P43" s="27" t="n">
        <x:f>SUM(L43:O43)</x:f>
        <x:v>183.6523894</x:v>
      </x:c>
      <x:c r="Q43" s="27" t="n">
        <x:f>J43-P43</x:f>
        <x:v>16.347610599999996</x:v>
      </x:c>
      <x:c r="R43" s="33" t="n">
        <x:f>Q43/J43</x:f>
        <x:v>0.08173805299999998</x:v>
      </x:c>
      <x:c r="S43" s="27" t="n">
        <x:f>0</x:f>
        <x:v>0</x:v>
      </x:c>
      <x:c r="T43" s="27" t="n">
        <x:f>J43+S43</x:f>
        <x:v>200</x:v>
      </x:c>
    </x:row>
    <x:row r="44" ht="22" customHeight="1">
      <x:c r="A44" s="1"/>
      <x:c r="B44" s="1"/>
      <x:c r="C44" s="1" t="str">
        <x:v>Legacy $20 / $20</x:v>
      </x:c>
      <x:c r="D44" s="1" t="str">
        <x:v>Typical</x:v>
      </x:c>
      <x:c r="E44" s="1" t="n">
        <x:v>20</x:v>
      </x:c>
      <x:c r="F44" s="27" t="n">
        <x:f>IF($H$7&gt;0,$H$7+MAX(0,E44-$I$7)*$J$7,MAX(E44,'Inputs'!$D$9)*$D$7)</x:f>
        <x:v>400</x:v>
      </x:c>
      <x:c r="G44" s="27" t="n">
        <x:f>E44*('Cost Build'!E9+'Cost Build'!E21)*$F$7</x:f>
        <x:v>184.22399999999996</x:v>
      </x:c>
      <x:c r="H44" s="27" t="n">
        <x:f>IF($H$7&gt;0,20,MAX(E44,'Inputs'!$D$9)*$E$7)</x:f>
        <x:v>400</x:v>
      </x:c>
      <x:c r="I44" s="27" t="n">
        <x:f>MAX(0,G44-H44)</x:f>
        <x:v>0</x:v>
      </x:c>
      <x:c r="J44" s="27" t="n">
        <x:f>F44+I44</x:f>
        <x:v>400</x:v>
      </x:c>
      <x:c r="K44" s="27" t="n">
        <x:f>E44*('Cost Build'!E9*(1-$G$7)+'Cost Build'!E21+'Cost Build'!E33)</x:f>
        <x:v>266.64070799999996</x:v>
      </x:c>
      <x:c r="L44" s="27" t="n">
        <x:f>K44*(1+'Inputs'!$D$54)</x:f>
        <x:v>293.3047788</x:v>
      </x:c>
      <x:c r="M44" s="27" t="n">
        <x:f>E44*'Inputs'!$D$55</x:f>
        <x:v>30</x:v>
      </x:c>
      <x:c r="N44" s="27" t="n">
        <x:f>'Fleet'!$D$17</x:f>
        <x:v>14.5</x:v>
      </x:c>
      <x:c r="O44" s="27" t="n">
        <x:f>J44*'Inputs'!$D$56+'Inputs'!$D$57</x:f>
        <x:v>14.7</x:v>
      </x:c>
      <x:c r="P44" s="27" t="n">
        <x:f>SUM(L44:O44)</x:f>
        <x:v>352.5047788</x:v>
      </x:c>
      <x:c r="Q44" s="27" t="n">
        <x:f>J44-P44</x:f>
        <x:v>47.4952212</x:v>
      </x:c>
      <x:c r="R44" s="33" t="n">
        <x:f>Q44/J44</x:f>
        <x:v>0.11873805300000001</x:v>
      </x:c>
      <x:c r="S44" s="27" t="n">
        <x:f>0</x:f>
        <x:v>0</x:v>
      </x:c>
      <x:c r="T44" s="27" t="n">
        <x:f>J44+S44</x:f>
        <x:v>400</x:v>
      </x:c>
    </x:row>
    <x:row r="45" ht="22" customHeight="1">
      <x:c r="A45" s="1"/>
      <x:c r="B45" s="1"/>
      <x:c r="C45" s="1" t="str">
        <x:v>Legacy $20 / $20</x:v>
      </x:c>
      <x:c r="D45" s="1" t="str">
        <x:v>Typical</x:v>
      </x:c>
      <x:c r="E45" s="1" t="n">
        <x:v>50</x:v>
      </x:c>
      <x:c r="F45" s="27" t="n">
        <x:f>IF($H$7&gt;0,$H$7+MAX(0,E45-$I$7)*$J$7,MAX(E45,'Inputs'!$D$9)*$D$7)</x:f>
        <x:v>1000</x:v>
      </x:c>
      <x:c r="G45" s="27" t="n">
        <x:f>E45*('Cost Build'!E9+'Cost Build'!E21)*$F$7</x:f>
        <x:v>460.5599999999999</x:v>
      </x:c>
      <x:c r="H45" s="27" t="n">
        <x:f>IF($H$7&gt;0,20,MAX(E45,'Inputs'!$D$9)*$E$7)</x:f>
        <x:v>1000</x:v>
      </x:c>
      <x:c r="I45" s="27" t="n">
        <x:f>MAX(0,G45-H45)</x:f>
        <x:v>0</x:v>
      </x:c>
      <x:c r="J45" s="27" t="n">
        <x:f>F45+I45</x:f>
        <x:v>1000</x:v>
      </x:c>
      <x:c r="K45" s="27" t="n">
        <x:f>E45*('Cost Build'!E9*(1-$G$7)+'Cost Build'!E21+'Cost Build'!E33)</x:f>
        <x:v>666.60177</x:v>
      </x:c>
      <x:c r="L45" s="27" t="n">
        <x:f>K45*(1+'Inputs'!$D$54)</x:f>
        <x:v>733.2619470000001</x:v>
      </x:c>
      <x:c r="M45" s="27" t="n">
        <x:f>E45*'Inputs'!$D$55</x:f>
        <x:v>75</x:v>
      </x:c>
      <x:c r="N45" s="27" t="n">
        <x:f>'Fleet'!$D$17</x:f>
        <x:v>14.5</x:v>
      </x:c>
      <x:c r="O45" s="27" t="n">
        <x:f>J45*'Inputs'!$D$56+'Inputs'!$D$57</x:f>
        <x:v>36.3</x:v>
      </x:c>
      <x:c r="P45" s="27" t="n">
        <x:f>SUM(L45:O45)</x:f>
        <x:v>859.061947</x:v>
      </x:c>
      <x:c r="Q45" s="27" t="n">
        <x:f>J45-P45</x:f>
        <x:v>140.93805299999997</x:v>
      </x:c>
      <x:c r="R45" s="33" t="n">
        <x:f>Q45/J45</x:f>
        <x:v>0.14093805299999998</x:v>
      </x:c>
      <x:c r="S45" s="27" t="n">
        <x:f>0</x:f>
        <x:v>0</x:v>
      </x:c>
      <x:c r="T45" s="27" t="n">
        <x:f>J45+S45</x:f>
        <x:v>1000</x:v>
      </x:c>
    </x:row>
    <x:row r="46" ht="22" customHeight="1">
      <x:c r="A46" s="1"/>
      <x:c r="B46" s="1"/>
      <x:c r="C46" s="1" t="str">
        <x:v>Legacy $20 / $20</x:v>
      </x:c>
      <x:c r="D46" s="1" t="str">
        <x:v>Typical</x:v>
      </x:c>
      <x:c r="E46" s="1" t="n">
        <x:v>100</x:v>
      </x:c>
      <x:c r="F46" s="27" t="n">
        <x:f>IF($H$7&gt;0,$H$7+MAX(0,E46-$I$7)*$J$7,MAX(E46,'Inputs'!$D$9)*$D$7)</x:f>
        <x:v>2000</x:v>
      </x:c>
      <x:c r="G46" s="27" t="n">
        <x:f>E46*('Cost Build'!E9+'Cost Build'!E21)*$F$7</x:f>
        <x:v>921.1199999999998</x:v>
      </x:c>
      <x:c r="H46" s="27" t="n">
        <x:f>IF($H$7&gt;0,20,MAX(E46,'Inputs'!$D$9)*$E$7)</x:f>
        <x:v>2000</x:v>
      </x:c>
      <x:c r="I46" s="27" t="n">
        <x:f>MAX(0,G46-H46)</x:f>
        <x:v>0</x:v>
      </x:c>
      <x:c r="J46" s="27" t="n">
        <x:f>F46+I46</x:f>
        <x:v>2000</x:v>
      </x:c>
      <x:c r="K46" s="27" t="n">
        <x:f>E46*('Cost Build'!E9*(1-$G$7)+'Cost Build'!E21+'Cost Build'!E33)</x:f>
        <x:v>1333.20354</x:v>
      </x:c>
      <x:c r="L46" s="27" t="n">
        <x:f>K46*(1+'Inputs'!$D$54)</x:f>
        <x:v>1466.5238940000002</x:v>
      </x:c>
      <x:c r="M46" s="27" t="n">
        <x:f>E46*'Inputs'!$D$55</x:f>
        <x:v>150</x:v>
      </x:c>
      <x:c r="N46" s="27" t="n">
        <x:f>'Fleet'!$D$17</x:f>
        <x:v>14.5</x:v>
      </x:c>
      <x:c r="O46" s="27" t="n">
        <x:f>J46*'Inputs'!$D$56+'Inputs'!$D$57</x:f>
        <x:v>72.3</x:v>
      </x:c>
      <x:c r="P46" s="27" t="n">
        <x:f>SUM(L46:O46)</x:f>
        <x:v>1703.323894</x:v>
      </x:c>
      <x:c r="Q46" s="27" t="n">
        <x:f>J46-P46</x:f>
        <x:v>296.6761059999999</x:v>
      </x:c>
      <x:c r="R46" s="33" t="n">
        <x:f>Q46/J46</x:f>
        <x:v>0.14833805299999994</x:v>
      </x:c>
      <x:c r="S46" s="27" t="n">
        <x:f>0</x:f>
        <x:v>0</x:v>
      </x:c>
      <x:c r="T46" s="27" t="n">
        <x:f>J46+S46</x:f>
        <x:v>2000</x:v>
      </x:c>
    </x:row>
    <x:row r="47" ht="22" customHeight="1">
      <x:c r="A47" s="1"/>
      <x:c r="B47" s="1"/>
      <x:c r="C47" s="1" t="str">
        <x:v>Legacy $20 / $20</x:v>
      </x:c>
      <x:c r="D47" s="1" t="str">
        <x:v>Heavy</x:v>
      </x:c>
      <x:c r="E47" s="1" t="n">
        <x:v>3</x:v>
      </x:c>
      <x:c r="F47" s="27" t="n">
        <x:f>IF($H$7&gt;0,$H$7+MAX(0,E47-$I$7)*$J$7,MAX(E47,'Inputs'!$D$9)*$D$7)</x:f>
        <x:v>60</x:v>
      </x:c>
      <x:c r="G47" s="27" t="n">
        <x:f>E47*('Cost Build'!F9+'Cost Build'!F21)*$F$7</x:f>
        <x:v>115.18199999999999</x:v>
      </x:c>
      <x:c r="H47" s="27" t="n">
        <x:f>IF($H$7&gt;0,20,MAX(E47,'Inputs'!$D$9)*$E$7)</x:f>
        <x:v>60</x:v>
      </x:c>
      <x:c r="I47" s="27" t="n">
        <x:f>MAX(0,G47-H47)</x:f>
        <x:v>55.18199999999999</x:v>
      </x:c>
      <x:c r="J47" s="27" t="n">
        <x:f>F47+I47</x:f>
        <x:v>115.18199999999999</x:v>
      </x:c>
      <x:c r="K47" s="27" t="n">
        <x:f>E47*('Cost Build'!F9*(1-$G$7)+'Cost Build'!F21+'Cost Build'!F33)</x:f>
        <x:v>151.407828</x:v>
      </x:c>
      <x:c r="L47" s="27" t="n">
        <x:f>K47*(1+'Inputs'!$D$54)</x:f>
        <x:v>166.5486108</x:v>
      </x:c>
      <x:c r="M47" s="27" t="n">
        <x:f>E47*'Inputs'!$D$55</x:f>
        <x:v>4.5</x:v>
      </x:c>
      <x:c r="N47" s="27" t="n">
        <x:f>'Fleet'!$D$17</x:f>
        <x:v>14.5</x:v>
      </x:c>
      <x:c r="O47" s="27" t="n">
        <x:f>J47*'Inputs'!$D$56+'Inputs'!$D$57</x:f>
        <x:v>4.446551999999999</x:v>
      </x:c>
      <x:c r="P47" s="27" t="n">
        <x:f>SUM(L47:O47)</x:f>
        <x:v>189.9951628</x:v>
      </x:c>
      <x:c r="Q47" s="27" t="n">
        <x:f>J47-P47</x:f>
        <x:v>-74.81316280000001</x:v>
      </x:c>
      <x:c r="R47" s="33" t="n">
        <x:f>Q47/J47</x:f>
        <x:v>-0.6495213036759218</x:v>
      </x:c>
      <x:c r="S47" s="27" t="n">
        <x:f>0</x:f>
        <x:v>0</x:v>
      </x:c>
      <x:c r="T47" s="27" t="n">
        <x:f>J47+S47</x:f>
        <x:v>115.18199999999999</x:v>
      </x:c>
    </x:row>
    <x:row r="48" ht="22" customHeight="1">
      <x:c r="A48" s="1"/>
      <x:c r="B48" s="1"/>
      <x:c r="C48" s="1" t="str">
        <x:v>Legacy $20 / $20</x:v>
      </x:c>
      <x:c r="D48" s="1" t="str">
        <x:v>Heavy</x:v>
      </x:c>
      <x:c r="E48" s="1" t="n">
        <x:v>5</x:v>
      </x:c>
      <x:c r="F48" s="27" t="n">
        <x:f>IF($H$7&gt;0,$H$7+MAX(0,E48-$I$7)*$J$7,MAX(E48,'Inputs'!$D$9)*$D$7)</x:f>
        <x:v>100</x:v>
      </x:c>
      <x:c r="G48" s="27" t="n">
        <x:f>E48*('Cost Build'!F9+'Cost Build'!F21)*$F$7</x:f>
        <x:v>191.97</x:v>
      </x:c>
      <x:c r="H48" s="27" t="n">
        <x:f>IF($H$7&gt;0,20,MAX(E48,'Inputs'!$D$9)*$E$7)</x:f>
        <x:v>100</x:v>
      </x:c>
      <x:c r="I48" s="27" t="n">
        <x:f>MAX(0,G48-H48)</x:f>
        <x:v>91.97</x:v>
      </x:c>
      <x:c r="J48" s="27" t="n">
        <x:f>F48+I48</x:f>
        <x:v>191.97</x:v>
      </x:c>
      <x:c r="K48" s="27" t="n">
        <x:f>E48*('Cost Build'!F9*(1-$G$7)+'Cost Build'!F21+'Cost Build'!F33)</x:f>
        <x:v>252.34638</x:v>
      </x:c>
      <x:c r="L48" s="27" t="n">
        <x:f>K48*(1+'Inputs'!$D$54)</x:f>
        <x:v>277.58101800000003</x:v>
      </x:c>
      <x:c r="M48" s="27" t="n">
        <x:f>E48*'Inputs'!$D$55</x:f>
        <x:v>7.5</x:v>
      </x:c>
      <x:c r="N48" s="27" t="n">
        <x:f>'Fleet'!$D$17</x:f>
        <x:v>14.5</x:v>
      </x:c>
      <x:c r="O48" s="27" t="n">
        <x:f>J48*'Inputs'!$D$56+'Inputs'!$D$57</x:f>
        <x:v>7.210919999999999</x:v>
      </x:c>
      <x:c r="P48" s="27" t="n">
        <x:f>SUM(L48:O48)</x:f>
        <x:v>306.791938</x:v>
      </x:c>
      <x:c r="Q48" s="27" t="n">
        <x:f>J48-P48</x:f>
        <x:v>-114.82193800000002</x:v>
      </x:c>
      <x:c r="R48" s="33" t="n">
        <x:f>Q48/J48</x:f>
        <x:v>-0.5981243840183363</x:v>
      </x:c>
      <x:c r="S48" s="27" t="n">
        <x:f>0</x:f>
        <x:v>0</x:v>
      </x:c>
      <x:c r="T48" s="27" t="n">
        <x:f>J48+S48</x:f>
        <x:v>191.97</x:v>
      </x:c>
    </x:row>
    <x:row r="49" ht="22" customHeight="1">
      <x:c r="A49" s="1"/>
      <x:c r="B49" s="1"/>
      <x:c r="C49" s="1" t="str">
        <x:v>Legacy $20 / $20</x:v>
      </x:c>
      <x:c r="D49" s="1" t="str">
        <x:v>Heavy</x:v>
      </x:c>
      <x:c r="E49" s="1" t="n">
        <x:v>10</x:v>
      </x:c>
      <x:c r="F49" s="27" t="n">
        <x:f>IF($H$7&gt;0,$H$7+MAX(0,E49-$I$7)*$J$7,MAX(E49,'Inputs'!$D$9)*$D$7)</x:f>
        <x:v>200</x:v>
      </x:c>
      <x:c r="G49" s="27" t="n">
        <x:f>E49*('Cost Build'!F9+'Cost Build'!F21)*$F$7</x:f>
        <x:v>383.94</x:v>
      </x:c>
      <x:c r="H49" s="27" t="n">
        <x:f>IF($H$7&gt;0,20,MAX(E49,'Inputs'!$D$9)*$E$7)</x:f>
        <x:v>200</x:v>
      </x:c>
      <x:c r="I49" s="27" t="n">
        <x:f>MAX(0,G49-H49)</x:f>
        <x:v>183.94</x:v>
      </x:c>
      <x:c r="J49" s="27" t="n">
        <x:f>F49+I49</x:f>
        <x:v>383.94</x:v>
      </x:c>
      <x:c r="K49" s="27" t="n">
        <x:f>E49*('Cost Build'!F9*(1-$G$7)+'Cost Build'!F21+'Cost Build'!F33)</x:f>
        <x:v>504.69276</x:v>
      </x:c>
      <x:c r="L49" s="27" t="n">
        <x:f>K49*(1+'Inputs'!$D$54)</x:f>
        <x:v>555.1620360000001</x:v>
      </x:c>
      <x:c r="M49" s="27" t="n">
        <x:f>E49*'Inputs'!$D$55</x:f>
        <x:v>15</x:v>
      </x:c>
      <x:c r="N49" s="27" t="n">
        <x:f>'Fleet'!$D$17</x:f>
        <x:v>14.5</x:v>
      </x:c>
      <x:c r="O49" s="27" t="n">
        <x:f>J49*'Inputs'!$D$56+'Inputs'!$D$57</x:f>
        <x:v>14.121839999999999</x:v>
      </x:c>
      <x:c r="P49" s="27" t="n">
        <x:f>SUM(L49:O49)</x:f>
        <x:v>598.7838760000001</x:v>
      </x:c>
      <x:c r="Q49" s="27" t="n">
        <x:f>J49-P49</x:f>
        <x:v>-214.84387600000008</x:v>
      </x:c>
      <x:c r="R49" s="33" t="n">
        <x:f>Q49/J49</x:f>
        <x:v>-0.5595766942751473</x:v>
      </x:c>
      <x:c r="S49" s="27" t="n">
        <x:f>0</x:f>
        <x:v>0</x:v>
      </x:c>
      <x:c r="T49" s="27" t="n">
        <x:f>J49+S49</x:f>
        <x:v>383.94</x:v>
      </x:c>
    </x:row>
    <x:row r="50" ht="22" customHeight="1">
      <x:c r="A50" s="1"/>
      <x:c r="B50" s="1"/>
      <x:c r="C50" s="1" t="str">
        <x:v>Legacy $20 / $20</x:v>
      </x:c>
      <x:c r="D50" s="1" t="str">
        <x:v>Heavy</x:v>
      </x:c>
      <x:c r="E50" s="1" t="n">
        <x:v>20</x:v>
      </x:c>
      <x:c r="F50" s="27" t="n">
        <x:f>IF($H$7&gt;0,$H$7+MAX(0,E50-$I$7)*$J$7,MAX(E50,'Inputs'!$D$9)*$D$7)</x:f>
        <x:v>400</x:v>
      </x:c>
      <x:c r="G50" s="27" t="n">
        <x:f>E50*('Cost Build'!F9+'Cost Build'!F21)*$F$7</x:f>
        <x:v>767.88</x:v>
      </x:c>
      <x:c r="H50" s="27" t="n">
        <x:f>IF($H$7&gt;0,20,MAX(E50,'Inputs'!$D$9)*$E$7)</x:f>
        <x:v>400</x:v>
      </x:c>
      <x:c r="I50" s="27" t="n">
        <x:f>MAX(0,G50-H50)</x:f>
        <x:v>367.88</x:v>
      </x:c>
      <x:c r="J50" s="27" t="n">
        <x:f>F50+I50</x:f>
        <x:v>767.88</x:v>
      </x:c>
      <x:c r="K50" s="27" t="n">
        <x:f>E50*('Cost Build'!F9*(1-$G$7)+'Cost Build'!F21+'Cost Build'!F33)</x:f>
        <x:v>1009.38552</x:v>
      </x:c>
      <x:c r="L50" s="27" t="n">
        <x:f>K50*(1+'Inputs'!$D$54)</x:f>
        <x:v>1110.3240720000001</x:v>
      </x:c>
      <x:c r="M50" s="27" t="n">
        <x:f>E50*'Inputs'!$D$55</x:f>
        <x:v>30</x:v>
      </x:c>
      <x:c r="N50" s="27" t="n">
        <x:f>'Fleet'!$D$17</x:f>
        <x:v>14.5</x:v>
      </x:c>
      <x:c r="O50" s="27" t="n">
        <x:f>J50*'Inputs'!$D$56+'Inputs'!$D$57</x:f>
        <x:v>27.943679999999997</x:v>
      </x:c>
      <x:c r="P50" s="27" t="n">
        <x:f>SUM(L50:O50)</x:f>
        <x:v>1182.7677520000002</x:v>
      </x:c>
      <x:c r="Q50" s="27" t="n">
        <x:f>J50-P50</x:f>
        <x:v>-414.8877520000002</x:v>
      </x:c>
      <x:c r="R50" s="33" t="n">
        <x:f>Q50/J50</x:f>
        <x:v>-0.5403028494035529</x:v>
      </x:c>
      <x:c r="S50" s="27" t="n">
        <x:f>0</x:f>
        <x:v>0</x:v>
      </x:c>
      <x:c r="T50" s="27" t="n">
        <x:f>J50+S50</x:f>
        <x:v>767.88</x:v>
      </x:c>
    </x:row>
    <x:row r="51" ht="22" customHeight="1">
      <x:c r="A51" s="1"/>
      <x:c r="B51" s="1"/>
      <x:c r="C51" s="1" t="str">
        <x:v>Legacy $20 / $20</x:v>
      </x:c>
      <x:c r="D51" s="1" t="str">
        <x:v>Heavy</x:v>
      </x:c>
      <x:c r="E51" s="1" t="n">
        <x:v>50</x:v>
      </x:c>
      <x:c r="F51" s="27" t="n">
        <x:f>IF($H$7&gt;0,$H$7+MAX(0,E51-$I$7)*$J$7,MAX(E51,'Inputs'!$D$9)*$D$7)</x:f>
        <x:v>1000</x:v>
      </x:c>
      <x:c r="G51" s="27" t="n">
        <x:f>E51*('Cost Build'!F9+'Cost Build'!F21)*$F$7</x:f>
        <x:v>1919.6999999999998</x:v>
      </x:c>
      <x:c r="H51" s="27" t="n">
        <x:f>IF($H$7&gt;0,20,MAX(E51,'Inputs'!$D$9)*$E$7)</x:f>
        <x:v>1000</x:v>
      </x:c>
      <x:c r="I51" s="27" t="n">
        <x:f>MAX(0,G51-H51)</x:f>
        <x:v>919.6999999999998</x:v>
      </x:c>
      <x:c r="J51" s="27" t="n">
        <x:f>F51+I51</x:f>
        <x:v>1919.6999999999998</x:v>
      </x:c>
      <x:c r="K51" s="27" t="n">
        <x:f>E51*('Cost Build'!F9*(1-$G$7)+'Cost Build'!F21+'Cost Build'!F33)</x:f>
        <x:v>2523.4638</x:v>
      </x:c>
      <x:c r="L51" s="27" t="n">
        <x:f>K51*(1+'Inputs'!$D$54)</x:f>
        <x:v>2775.8101800000004</x:v>
      </x:c>
      <x:c r="M51" s="27" t="n">
        <x:f>E51*'Inputs'!$D$55</x:f>
        <x:v>75</x:v>
      </x:c>
      <x:c r="N51" s="27" t="n">
        <x:f>'Fleet'!$D$17</x:f>
        <x:v>14.5</x:v>
      </x:c>
      <x:c r="O51" s="27" t="n">
        <x:f>J51*'Inputs'!$D$56+'Inputs'!$D$57</x:f>
        <x:v>69.40919999999998</x:v>
      </x:c>
      <x:c r="P51" s="27" t="n">
        <x:f>SUM(L51:O51)</x:f>
        <x:v>2934.7193800000005</x:v>
      </x:c>
      <x:c r="Q51" s="27" t="n">
        <x:f>J51-P51</x:f>
        <x:v>-1015.0193800000006</x:v>
      </x:c>
      <x:c r="R51" s="33" t="n">
        <x:f>Q51/J51</x:f>
        <x:v>-0.5287385424805963</x:v>
      </x:c>
      <x:c r="S51" s="27" t="n">
        <x:f>0</x:f>
        <x:v>0</x:v>
      </x:c>
      <x:c r="T51" s="27" t="n">
        <x:f>J51+S51</x:f>
        <x:v>1919.6999999999998</x:v>
      </x:c>
    </x:row>
    <x:row r="52" ht="22" customHeight="1">
      <x:c r="A52" s="1"/>
      <x:c r="B52" s="1"/>
      <x:c r="C52" s="1" t="str">
        <x:v>Legacy $20 / $20</x:v>
      </x:c>
      <x:c r="D52" s="1" t="str">
        <x:v>Heavy</x:v>
      </x:c>
      <x:c r="E52" s="1" t="n">
        <x:v>100</x:v>
      </x:c>
      <x:c r="F52" s="27" t="n">
        <x:f>IF($H$7&gt;0,$H$7+MAX(0,E52-$I$7)*$J$7,MAX(E52,'Inputs'!$D$9)*$D$7)</x:f>
        <x:v>2000</x:v>
      </x:c>
      <x:c r="G52" s="27" t="n">
        <x:f>E52*('Cost Build'!F9+'Cost Build'!F21)*$F$7</x:f>
        <x:v>3839.3999999999996</x:v>
      </x:c>
      <x:c r="H52" s="27" t="n">
        <x:f>IF($H$7&gt;0,20,MAX(E52,'Inputs'!$D$9)*$E$7)</x:f>
        <x:v>2000</x:v>
      </x:c>
      <x:c r="I52" s="27" t="n">
        <x:f>MAX(0,G52-H52)</x:f>
        <x:v>1839.3999999999996</x:v>
      </x:c>
      <x:c r="J52" s="27" t="n">
        <x:f>F52+I52</x:f>
        <x:v>3839.3999999999996</x:v>
      </x:c>
      <x:c r="K52" s="27" t="n">
        <x:f>E52*('Cost Build'!F9*(1-$G$7)+'Cost Build'!F21+'Cost Build'!F33)</x:f>
        <x:v>5046.9276</x:v>
      </x:c>
      <x:c r="L52" s="27" t="n">
        <x:f>K52*(1+'Inputs'!$D$54)</x:f>
        <x:v>5551.620360000001</x:v>
      </x:c>
      <x:c r="M52" s="27" t="n">
        <x:f>E52*'Inputs'!$D$55</x:f>
        <x:v>150</x:v>
      </x:c>
      <x:c r="N52" s="27" t="n">
        <x:f>'Fleet'!$D$17</x:f>
        <x:v>14.5</x:v>
      </x:c>
      <x:c r="O52" s="27" t="n">
        <x:f>J52*'Inputs'!$D$56+'Inputs'!$D$57</x:f>
        <x:v>138.51839999999999</x:v>
      </x:c>
      <x:c r="P52" s="27" t="n">
        <x:f>SUM(L52:O52)</x:f>
        <x:v>5854.638760000001</x:v>
      </x:c>
      <x:c r="Q52" s="27" t="n">
        <x:f>J52-P52</x:f>
        <x:v>-2015.238760000001</x:v>
      </x:c>
      <x:c r="R52" s="33" t="n">
        <x:f>Q52/J52</x:f>
        <x:v>-0.5248837735062774</x:v>
      </x:c>
      <x:c r="S52" s="27" t="n">
        <x:f>0</x:f>
        <x:v>0</x:v>
      </x:c>
      <x:c r="T52" s="27" t="n">
        <x:f>J52+S52</x:f>
        <x:v>3839.3999999999996</x:v>
      </x:c>
    </x:row>
    <x:row r="53" ht="22" customHeight="1">
      <x:c r="A53" s="1"/>
      <x:c r="B53" s="1"/>
      <x:c r="C53" s="1" t="str">
        <x:v>Flat $29 unlimited</x:v>
      </x:c>
      <x:c r="D53" s="1" t="str">
        <x:v>Light</x:v>
      </x:c>
      <x:c r="E53" s="1" t="n">
        <x:v>3</x:v>
      </x:c>
      <x:c r="F53" s="27" t="n">
        <x:f>IF($H$8&gt;0,$H$8+MAX(0,E53-$I$8)*$J$8,MAX(E53,'Inputs'!$D$9)*$D$8)</x:f>
        <x:v>87</x:v>
      </x:c>
      <x:c r="G53" s="27" t="n">
        <x:f>E53*'Cost Build'!D9*(1-$G$8)*$F$8</x:f>
        <x:v>0</x:v>
      </x:c>
      <x:c r="H53" s="27" t="n">
        <x:f>IF($H$8&gt;0,20,MAX(E53,'Inputs'!$D$9)*$E$8)</x:f>
        <x:v>0</x:v>
      </x:c>
      <x:c r="I53" s="27" t="n">
        <x:f>MAX(0,G53-H53)</x:f>
        <x:v>0</x:v>
      </x:c>
      <x:c r="J53" s="27" t="n">
        <x:f>F53+I53</x:f>
        <x:v>87</x:v>
      </x:c>
      <x:c r="K53" s="27" t="n">
        <x:f>E53*('Cost Build'!D9*(1-$G$8)+'Cost Build'!D21+'Cost Build'!D33)</x:f>
        <x:v>12.409656239999999</x:v>
      </x:c>
      <x:c r="L53" s="27" t="n">
        <x:f>K53*(1+'Inputs'!$D$54)</x:f>
        <x:v>13.650621864</x:v>
      </x:c>
      <x:c r="M53" s="27" t="n">
        <x:f>E53*'Inputs'!$D$55</x:f>
        <x:v>4.5</x:v>
      </x:c>
      <x:c r="N53" s="27" t="n">
        <x:f>'Fleet'!$D$17</x:f>
        <x:v>14.5</x:v>
      </x:c>
      <x:c r="O53" s="27" t="n">
        <x:f>J53*'Inputs'!$D$56+'Inputs'!$D$57</x:f>
        <x:v>3.4319999999999995</x:v>
      </x:c>
      <x:c r="P53" s="27" t="n">
        <x:f>SUM(L53:O53)</x:f>
        <x:v>36.082621864000004</x:v>
      </x:c>
      <x:c r="Q53" s="27" t="n">
        <x:f>J53-P53</x:f>
        <x:v>50.917378135999996</x:v>
      </x:c>
      <x:c r="R53" s="33" t="n">
        <x:f>Q53/J53</x:f>
        <x:v>0.5852572199540229</x:v>
      </x:c>
      <x:c r="S53" s="27" t="n">
        <x:f>0</x:f>
        <x:v>0</x:v>
      </x:c>
      <x:c r="T53" s="27" t="n">
        <x:f>J53+S53</x:f>
        <x:v>87</x:v>
      </x:c>
    </x:row>
    <x:row r="54" ht="22" customHeight="1">
      <x:c r="A54" s="1"/>
      <x:c r="B54" s="1"/>
      <x:c r="C54" s="1" t="str">
        <x:v>Flat $29 unlimited</x:v>
      </x:c>
      <x:c r="D54" s="1" t="str">
        <x:v>Light</x:v>
      </x:c>
      <x:c r="E54" s="1" t="n">
        <x:v>5</x:v>
      </x:c>
      <x:c r="F54" s="27" t="n">
        <x:f>IF($H$8&gt;0,$H$8+MAX(0,E54-$I$8)*$J$8,MAX(E54,'Inputs'!$D$9)*$D$8)</x:f>
        <x:v>145</x:v>
      </x:c>
      <x:c r="G54" s="27" t="n">
        <x:f>E54*'Cost Build'!D9*(1-$G$8)*$F$8</x:f>
        <x:v>0</x:v>
      </x:c>
      <x:c r="H54" s="27" t="n">
        <x:f>IF($H$8&gt;0,20,MAX(E54,'Inputs'!$D$9)*$E$8)</x:f>
        <x:v>0</x:v>
      </x:c>
      <x:c r="I54" s="27" t="n">
        <x:f>MAX(0,G54-H54)</x:f>
        <x:v>0</x:v>
      </x:c>
      <x:c r="J54" s="27" t="n">
        <x:f>F54+I54</x:f>
        <x:v>145</x:v>
      </x:c>
      <x:c r="K54" s="27" t="n">
        <x:f>E54*('Cost Build'!D9*(1-$G$8)+'Cost Build'!D21+'Cost Build'!D33)</x:f>
        <x:v>20.6827604</x:v>
      </x:c>
      <x:c r="L54" s="27" t="n">
        <x:f>K54*(1+'Inputs'!$D$54)</x:f>
        <x:v>22.75103644</x:v>
      </x:c>
      <x:c r="M54" s="27" t="n">
        <x:f>E54*'Inputs'!$D$55</x:f>
        <x:v>7.5</x:v>
      </x:c>
      <x:c r="N54" s="27" t="n">
        <x:f>'Fleet'!$D$17</x:f>
        <x:v>14.5</x:v>
      </x:c>
      <x:c r="O54" s="27" t="n">
        <x:f>J54*'Inputs'!$D$56+'Inputs'!$D$57</x:f>
        <x:v>5.52</x:v>
      </x:c>
      <x:c r="P54" s="27" t="n">
        <x:f>SUM(L54:O54)</x:f>
        <x:v>50.27103644</x:v>
      </x:c>
      <x:c r="Q54" s="27" t="n">
        <x:f>J54-P54</x:f>
        <x:v>94.72896356</x:v>
      </x:c>
      <x:c r="R54" s="33" t="n">
        <x:f>Q54/J54</x:f>
        <x:v>0.6533031969655172</x:v>
      </x:c>
      <x:c r="S54" s="27" t="n">
        <x:f>0</x:f>
        <x:v>0</x:v>
      </x:c>
      <x:c r="T54" s="27" t="n">
        <x:f>J54+S54</x:f>
        <x:v>145</x:v>
      </x:c>
    </x:row>
    <x:row r="55" ht="22" customHeight="1">
      <x:c r="A55" s="1"/>
      <x:c r="B55" s="1"/>
      <x:c r="C55" s="1" t="str">
        <x:v>Flat $29 unlimited</x:v>
      </x:c>
      <x:c r="D55" s="1" t="str">
        <x:v>Light</x:v>
      </x:c>
      <x:c r="E55" s="1" t="n">
        <x:v>10</x:v>
      </x:c>
      <x:c r="F55" s="27" t="n">
        <x:f>IF($H$8&gt;0,$H$8+MAX(0,E55-$I$8)*$J$8,MAX(E55,'Inputs'!$D$9)*$D$8)</x:f>
        <x:v>290</x:v>
      </x:c>
      <x:c r="G55" s="27" t="n">
        <x:f>E55*'Cost Build'!D9*(1-$G$8)*$F$8</x:f>
        <x:v>0</x:v>
      </x:c>
      <x:c r="H55" s="27" t="n">
        <x:f>IF($H$8&gt;0,20,MAX(E55,'Inputs'!$D$9)*$E$8)</x:f>
        <x:v>0</x:v>
      </x:c>
      <x:c r="I55" s="27" t="n">
        <x:f>MAX(0,G55-H55)</x:f>
        <x:v>0</x:v>
      </x:c>
      <x:c r="J55" s="27" t="n">
        <x:f>F55+I55</x:f>
        <x:v>290</x:v>
      </x:c>
      <x:c r="K55" s="27" t="n">
        <x:f>E55*('Cost Build'!D9*(1-$G$8)+'Cost Build'!D21+'Cost Build'!D33)</x:f>
        <x:v>41.3655208</x:v>
      </x:c>
      <x:c r="L55" s="27" t="n">
        <x:f>K55*(1+'Inputs'!$D$54)</x:f>
        <x:v>45.50207288</x:v>
      </x:c>
      <x:c r="M55" s="27" t="n">
        <x:f>E55*'Inputs'!$D$55</x:f>
        <x:v>15</x:v>
      </x:c>
      <x:c r="N55" s="27" t="n">
        <x:f>'Fleet'!$D$17</x:f>
        <x:v>14.5</x:v>
      </x:c>
      <x:c r="O55" s="27" t="n">
        <x:f>J55*'Inputs'!$D$56+'Inputs'!$D$57</x:f>
        <x:v>10.74</x:v>
      </x:c>
      <x:c r="P55" s="27" t="n">
        <x:f>SUM(L55:O55)</x:f>
        <x:v>85.74207288</x:v>
      </x:c>
      <x:c r="Q55" s="27" t="n">
        <x:f>J55-P55</x:f>
        <x:v>204.25792712</x:v>
      </x:c>
      <x:c r="R55" s="33" t="n">
        <x:f>Q55/J55</x:f>
        <x:v>0.704337679724138</x:v>
      </x:c>
      <x:c r="S55" s="27" t="n">
        <x:f>0</x:f>
        <x:v>0</x:v>
      </x:c>
      <x:c r="T55" s="27" t="n">
        <x:f>J55+S55</x:f>
        <x:v>290</x:v>
      </x:c>
    </x:row>
    <x:row r="56" ht="22" customHeight="1">
      <x:c r="A56" s="1"/>
      <x:c r="B56" s="1"/>
      <x:c r="C56" s="1" t="str">
        <x:v>Flat $29 unlimited</x:v>
      </x:c>
      <x:c r="D56" s="1" t="str">
        <x:v>Light</x:v>
      </x:c>
      <x:c r="E56" s="1" t="n">
        <x:v>20</x:v>
      </x:c>
      <x:c r="F56" s="27" t="n">
        <x:f>IF($H$8&gt;0,$H$8+MAX(0,E56-$I$8)*$J$8,MAX(E56,'Inputs'!$D$9)*$D$8)</x:f>
        <x:v>580</x:v>
      </x:c>
      <x:c r="G56" s="27" t="n">
        <x:f>E56*'Cost Build'!D9*(1-$G$8)*$F$8</x:f>
        <x:v>0</x:v>
      </x:c>
      <x:c r="H56" s="27" t="n">
        <x:f>IF($H$8&gt;0,20,MAX(E56,'Inputs'!$D$9)*$E$8)</x:f>
        <x:v>0</x:v>
      </x:c>
      <x:c r="I56" s="27" t="n">
        <x:f>MAX(0,G56-H56)</x:f>
        <x:v>0</x:v>
      </x:c>
      <x:c r="J56" s="27" t="n">
        <x:f>F56+I56</x:f>
        <x:v>580</x:v>
      </x:c>
      <x:c r="K56" s="27" t="n">
        <x:f>E56*('Cost Build'!D9*(1-$G$8)+'Cost Build'!D21+'Cost Build'!D33)</x:f>
        <x:v>82.7310416</x:v>
      </x:c>
      <x:c r="L56" s="27" t="n">
        <x:f>K56*(1+'Inputs'!$D$54)</x:f>
        <x:v>91.00414576</x:v>
      </x:c>
      <x:c r="M56" s="27" t="n">
        <x:f>E56*'Inputs'!$D$55</x:f>
        <x:v>30</x:v>
      </x:c>
      <x:c r="N56" s="27" t="n">
        <x:f>'Fleet'!$D$17</x:f>
        <x:v>14.5</x:v>
      </x:c>
      <x:c r="O56" s="27" t="n">
        <x:f>J56*'Inputs'!$D$56+'Inputs'!$D$57</x:f>
        <x:v>21.18</x:v>
      </x:c>
      <x:c r="P56" s="27" t="n">
        <x:f>SUM(L56:O56)</x:f>
        <x:v>156.68414576</x:v>
      </x:c>
      <x:c r="Q56" s="27" t="n">
        <x:f>J56-P56</x:f>
        <x:v>423.31585424</x:v>
      </x:c>
      <x:c r="R56" s="33" t="n">
        <x:f>Q56/J56</x:f>
        <x:v>0.7298549211034483</x:v>
      </x:c>
      <x:c r="S56" s="27" t="n">
        <x:f>0</x:f>
        <x:v>0</x:v>
      </x:c>
      <x:c r="T56" s="27" t="n">
        <x:f>J56+S56</x:f>
        <x:v>580</x:v>
      </x:c>
    </x:row>
    <x:row r="57" ht="22" customHeight="1">
      <x:c r="A57" s="1"/>
      <x:c r="B57" s="1"/>
      <x:c r="C57" s="1" t="str">
        <x:v>Flat $29 unlimited</x:v>
      </x:c>
      <x:c r="D57" s="1" t="str">
        <x:v>Light</x:v>
      </x:c>
      <x:c r="E57" s="1" t="n">
        <x:v>50</x:v>
      </x:c>
      <x:c r="F57" s="27" t="n">
        <x:f>IF($H$8&gt;0,$H$8+MAX(0,E57-$I$8)*$J$8,MAX(E57,'Inputs'!$D$9)*$D$8)</x:f>
        <x:v>1450</x:v>
      </x:c>
      <x:c r="G57" s="27" t="n">
        <x:f>E57*'Cost Build'!D9*(1-$G$8)*$F$8</x:f>
        <x:v>0</x:v>
      </x:c>
      <x:c r="H57" s="27" t="n">
        <x:f>IF($H$8&gt;0,20,MAX(E57,'Inputs'!$D$9)*$E$8)</x:f>
        <x:v>0</x:v>
      </x:c>
      <x:c r="I57" s="27" t="n">
        <x:f>MAX(0,G57-H57)</x:f>
        <x:v>0</x:v>
      </x:c>
      <x:c r="J57" s="27" t="n">
        <x:f>F57+I57</x:f>
        <x:v>1450</x:v>
      </x:c>
      <x:c r="K57" s="27" t="n">
        <x:f>E57*('Cost Build'!D9*(1-$G$8)+'Cost Build'!D21+'Cost Build'!D33)</x:f>
        <x:v>206.82760399999998</x:v>
      </x:c>
      <x:c r="L57" s="27" t="n">
        <x:f>K57*(1+'Inputs'!$D$54)</x:f>
        <x:v>227.5103644</x:v>
      </x:c>
      <x:c r="M57" s="27" t="n">
        <x:f>E57*'Inputs'!$D$55</x:f>
        <x:v>75</x:v>
      </x:c>
      <x:c r="N57" s="27" t="n">
        <x:f>'Fleet'!$D$17</x:f>
        <x:v>14.5</x:v>
      </x:c>
      <x:c r="O57" s="27" t="n">
        <x:f>J57*'Inputs'!$D$56+'Inputs'!$D$57</x:f>
        <x:v>52.49999999999999</x:v>
      </x:c>
      <x:c r="P57" s="27" t="n">
        <x:f>SUM(L57:O57)</x:f>
        <x:v>369.51036439999996</x:v>
      </x:c>
      <x:c r="Q57" s="27" t="n">
        <x:f>J57-P57</x:f>
        <x:v>1080.4896356</x:v>
      </x:c>
      <x:c r="R57" s="33" t="n">
        <x:f>Q57/J57</x:f>
        <x:v>0.7451652659310344</x:v>
      </x:c>
      <x:c r="S57" s="27" t="n">
        <x:f>0</x:f>
        <x:v>0</x:v>
      </x:c>
      <x:c r="T57" s="27" t="n">
        <x:f>J57+S57</x:f>
        <x:v>1450</x:v>
      </x:c>
    </x:row>
    <x:row r="58" ht="22" customHeight="1">
      <x:c r="A58" s="1"/>
      <x:c r="B58" s="1"/>
      <x:c r="C58" s="1" t="str">
        <x:v>Flat $29 unlimited</x:v>
      </x:c>
      <x:c r="D58" s="1" t="str">
        <x:v>Light</x:v>
      </x:c>
      <x:c r="E58" s="1" t="n">
        <x:v>100</x:v>
      </x:c>
      <x:c r="F58" s="27" t="n">
        <x:f>IF($H$8&gt;0,$H$8+MAX(0,E58-$I$8)*$J$8,MAX(E58,'Inputs'!$D$9)*$D$8)</x:f>
        <x:v>2900</x:v>
      </x:c>
      <x:c r="G58" s="27" t="n">
        <x:f>E58*'Cost Build'!D9*(1-$G$8)*$F$8</x:f>
        <x:v>0</x:v>
      </x:c>
      <x:c r="H58" s="27" t="n">
        <x:f>IF($H$8&gt;0,20,MAX(E58,'Inputs'!$D$9)*$E$8)</x:f>
        <x:v>0</x:v>
      </x:c>
      <x:c r="I58" s="27" t="n">
        <x:f>MAX(0,G58-H58)</x:f>
        <x:v>0</x:v>
      </x:c>
      <x:c r="J58" s="27" t="n">
        <x:f>F58+I58</x:f>
        <x:v>2900</x:v>
      </x:c>
      <x:c r="K58" s="27" t="n">
        <x:f>E58*('Cost Build'!D9*(1-$G$8)+'Cost Build'!D21+'Cost Build'!D33)</x:f>
        <x:v>413.65520799999996</x:v>
      </x:c>
      <x:c r="L58" s="27" t="n">
        <x:f>K58*(1+'Inputs'!$D$54)</x:f>
        <x:v>455.0207288</x:v>
      </x:c>
      <x:c r="M58" s="27" t="n">
        <x:f>E58*'Inputs'!$D$55</x:f>
        <x:v>150</x:v>
      </x:c>
      <x:c r="N58" s="27" t="n">
        <x:f>'Fleet'!$D$17</x:f>
        <x:v>14.5</x:v>
      </x:c>
      <x:c r="O58" s="27" t="n">
        <x:f>J58*'Inputs'!$D$56+'Inputs'!$D$57</x:f>
        <x:v>104.69999999999999</x:v>
      </x:c>
      <x:c r="P58" s="27" t="n">
        <x:f>SUM(L58:O58)</x:f>
        <x:v>724.2207288</x:v>
      </x:c>
      <x:c r="Q58" s="27" t="n">
        <x:f>J58-P58</x:f>
        <x:v>2175.7792712</x:v>
      </x:c>
      <x:c r="R58" s="33" t="n">
        <x:f>Q58/J58</x:f>
        <x:v>0.7502687142068966</x:v>
      </x:c>
      <x:c r="S58" s="27" t="n">
        <x:f>0</x:f>
        <x:v>0</x:v>
      </x:c>
      <x:c r="T58" s="27" t="n">
        <x:f>J58+S58</x:f>
        <x:v>2900</x:v>
      </x:c>
    </x:row>
    <x:row r="59" ht="22" customHeight="1">
      <x:c r="A59" s="1"/>
      <x:c r="B59" s="1"/>
      <x:c r="C59" s="1" t="str">
        <x:v>Flat $29 unlimited</x:v>
      </x:c>
      <x:c r="D59" s="1" t="str">
        <x:v>Typical</x:v>
      </x:c>
      <x:c r="E59" s="1" t="n">
        <x:v>3</x:v>
      </x:c>
      <x:c r="F59" s="27" t="n">
        <x:f>IF($H$8&gt;0,$H$8+MAX(0,E59-$I$8)*$J$8,MAX(E59,'Inputs'!$D$9)*$D$8)</x:f>
        <x:v>87</x:v>
      </x:c>
      <x:c r="G59" s="27" t="n">
        <x:f>E59*'Cost Build'!E9*(1-$G$8)*$F$8</x:f>
        <x:v>0</x:v>
      </x:c>
      <x:c r="H59" s="27" t="n">
        <x:f>IF($H$8&gt;0,20,MAX(E59,'Inputs'!$D$9)*$E$8)</x:f>
        <x:v>0</x:v>
      </x:c>
      <x:c r="I59" s="27" t="n">
        <x:f>MAX(0,G59-H59)</x:f>
        <x:v>0</x:v>
      </x:c>
      <x:c r="J59" s="27" t="n">
        <x:f>F59+I59</x:f>
        <x:v>87</x:v>
      </x:c>
      <x:c r="K59" s="27" t="n">
        <x:f>E59*('Cost Build'!E9*(1-$G$8)+'Cost Build'!E21+'Cost Build'!E33)</x:f>
        <x:v>39.9961062</x:v>
      </x:c>
      <x:c r="L59" s="27" t="n">
        <x:f>K59*(1+'Inputs'!$D$54)</x:f>
        <x:v>43.995716820000005</x:v>
      </x:c>
      <x:c r="M59" s="27" t="n">
        <x:f>E59*'Inputs'!$D$55</x:f>
        <x:v>4.5</x:v>
      </x:c>
      <x:c r="N59" s="27" t="n">
        <x:f>'Fleet'!$D$17</x:f>
        <x:v>14.5</x:v>
      </x:c>
      <x:c r="O59" s="27" t="n">
        <x:f>J59*'Inputs'!$D$56+'Inputs'!$D$57</x:f>
        <x:v>3.4319999999999995</x:v>
      </x:c>
      <x:c r="P59" s="27" t="n">
        <x:f>SUM(L59:O59)</x:f>
        <x:v>66.42771682</x:v>
      </x:c>
      <x:c r="Q59" s="27" t="n">
        <x:f>J59-P59</x:f>
        <x:v>20.57228318</x:v>
      </x:c>
      <x:c r="R59" s="33" t="n">
        <x:f>Q59/J59</x:f>
        <x:v>0.23646302505747127</x:v>
      </x:c>
      <x:c r="S59" s="27" t="n">
        <x:f>0</x:f>
        <x:v>0</x:v>
      </x:c>
      <x:c r="T59" s="27" t="n">
        <x:f>J59+S59</x:f>
        <x:v>87</x:v>
      </x:c>
    </x:row>
    <x:row r="60" ht="22" customHeight="1">
      <x:c r="A60" s="1"/>
      <x:c r="B60" s="1"/>
      <x:c r="C60" s="1" t="str">
        <x:v>Flat $29 unlimited</x:v>
      </x:c>
      <x:c r="D60" s="1" t="str">
        <x:v>Typical</x:v>
      </x:c>
      <x:c r="E60" s="1" t="n">
        <x:v>5</x:v>
      </x:c>
      <x:c r="F60" s="27" t="n">
        <x:f>IF($H$8&gt;0,$H$8+MAX(0,E60-$I$8)*$J$8,MAX(E60,'Inputs'!$D$9)*$D$8)</x:f>
        <x:v>145</x:v>
      </x:c>
      <x:c r="G60" s="27" t="n">
        <x:f>E60*'Cost Build'!E9*(1-$G$8)*$F$8</x:f>
        <x:v>0</x:v>
      </x:c>
      <x:c r="H60" s="27" t="n">
        <x:f>IF($H$8&gt;0,20,MAX(E60,'Inputs'!$D$9)*$E$8)</x:f>
        <x:v>0</x:v>
      </x:c>
      <x:c r="I60" s="27" t="n">
        <x:f>MAX(0,G60-H60)</x:f>
        <x:v>0</x:v>
      </x:c>
      <x:c r="J60" s="27" t="n">
        <x:f>F60+I60</x:f>
        <x:v>145</x:v>
      </x:c>
      <x:c r="K60" s="27" t="n">
        <x:f>E60*('Cost Build'!E9*(1-$G$8)+'Cost Build'!E21+'Cost Build'!E33)</x:f>
        <x:v>66.66017699999999</x:v>
      </x:c>
      <x:c r="L60" s="27" t="n">
        <x:f>K60*(1+'Inputs'!$D$54)</x:f>
        <x:v>73.3261947</x:v>
      </x:c>
      <x:c r="M60" s="27" t="n">
        <x:f>E60*'Inputs'!$D$55</x:f>
        <x:v>7.5</x:v>
      </x:c>
      <x:c r="N60" s="27" t="n">
        <x:f>'Fleet'!$D$17</x:f>
        <x:v>14.5</x:v>
      </x:c>
      <x:c r="O60" s="27" t="n">
        <x:f>J60*'Inputs'!$D$56+'Inputs'!$D$57</x:f>
        <x:v>5.52</x:v>
      </x:c>
      <x:c r="P60" s="27" t="n">
        <x:f>SUM(L60:O60)</x:f>
        <x:v>100.8461947</x:v>
      </x:c>
      <x:c r="Q60" s="27" t="n">
        <x:f>J60-P60</x:f>
        <x:v>44.1538053</x:v>
      </x:c>
      <x:c r="R60" s="33" t="n">
        <x:f>Q60/J60</x:f>
        <x:v>0.30450900206896553</x:v>
      </x:c>
      <x:c r="S60" s="27" t="n">
        <x:f>0</x:f>
        <x:v>0</x:v>
      </x:c>
      <x:c r="T60" s="27" t="n">
        <x:f>J60+S60</x:f>
        <x:v>145</x:v>
      </x:c>
    </x:row>
    <x:row r="61" ht="22" customHeight="1">
      <x:c r="A61" s="1"/>
      <x:c r="B61" s="1"/>
      <x:c r="C61" s="1" t="str">
        <x:v>Flat $29 unlimited</x:v>
      </x:c>
      <x:c r="D61" s="1" t="str">
        <x:v>Typical</x:v>
      </x:c>
      <x:c r="E61" s="1" t="n">
        <x:v>10</x:v>
      </x:c>
      <x:c r="F61" s="27" t="n">
        <x:f>IF($H$8&gt;0,$H$8+MAX(0,E61-$I$8)*$J$8,MAX(E61,'Inputs'!$D$9)*$D$8)</x:f>
        <x:v>290</x:v>
      </x:c>
      <x:c r="G61" s="27" t="n">
        <x:f>E61*'Cost Build'!E9*(1-$G$8)*$F$8</x:f>
        <x:v>0</x:v>
      </x:c>
      <x:c r="H61" s="27" t="n">
        <x:f>IF($H$8&gt;0,20,MAX(E61,'Inputs'!$D$9)*$E$8)</x:f>
        <x:v>0</x:v>
      </x:c>
      <x:c r="I61" s="27" t="n">
        <x:f>MAX(0,G61-H61)</x:f>
        <x:v>0</x:v>
      </x:c>
      <x:c r="J61" s="27" t="n">
        <x:f>F61+I61</x:f>
        <x:v>290</x:v>
      </x:c>
      <x:c r="K61" s="27" t="n">
        <x:f>E61*('Cost Build'!E9*(1-$G$8)+'Cost Build'!E21+'Cost Build'!E33)</x:f>
        <x:v>133.32035399999998</x:v>
      </x:c>
      <x:c r="L61" s="27" t="n">
        <x:f>K61*(1+'Inputs'!$D$54)</x:f>
        <x:v>146.6523894</x:v>
      </x:c>
      <x:c r="M61" s="27" t="n">
        <x:f>E61*'Inputs'!$D$55</x:f>
        <x:v>15</x:v>
      </x:c>
      <x:c r="N61" s="27" t="n">
        <x:f>'Fleet'!$D$17</x:f>
        <x:v>14.5</x:v>
      </x:c>
      <x:c r="O61" s="27" t="n">
        <x:f>J61*'Inputs'!$D$56+'Inputs'!$D$57</x:f>
        <x:v>10.74</x:v>
      </x:c>
      <x:c r="P61" s="27" t="n">
        <x:f>SUM(L61:O61)</x:f>
        <x:v>186.8923894</x:v>
      </x:c>
      <x:c r="Q61" s="27" t="n">
        <x:f>J61-P61</x:f>
        <x:v>103.10761059999999</x:v>
      </x:c>
      <x:c r="R61" s="33" t="n">
        <x:f>Q61/J61</x:f>
        <x:v>0.3555434848275862</x:v>
      </x:c>
      <x:c r="S61" s="27" t="n">
        <x:f>0</x:f>
        <x:v>0</x:v>
      </x:c>
      <x:c r="T61" s="27" t="n">
        <x:f>J61+S61</x:f>
        <x:v>290</x:v>
      </x:c>
    </x:row>
    <x:row r="62" ht="22" customHeight="1">
      <x:c r="A62" s="1"/>
      <x:c r="B62" s="1"/>
      <x:c r="C62" s="1" t="str">
        <x:v>Flat $29 unlimited</x:v>
      </x:c>
      <x:c r="D62" s="1" t="str">
        <x:v>Typical</x:v>
      </x:c>
      <x:c r="E62" s="1" t="n">
        <x:v>20</x:v>
      </x:c>
      <x:c r="F62" s="27" t="n">
        <x:f>IF($H$8&gt;0,$H$8+MAX(0,E62-$I$8)*$J$8,MAX(E62,'Inputs'!$D$9)*$D$8)</x:f>
        <x:v>580</x:v>
      </x:c>
      <x:c r="G62" s="27" t="n">
        <x:f>E62*'Cost Build'!E9*(1-$G$8)*$F$8</x:f>
        <x:v>0</x:v>
      </x:c>
      <x:c r="H62" s="27" t="n">
        <x:f>IF($H$8&gt;0,20,MAX(E62,'Inputs'!$D$9)*$E$8)</x:f>
        <x:v>0</x:v>
      </x:c>
      <x:c r="I62" s="27" t="n">
        <x:f>MAX(0,G62-H62)</x:f>
        <x:v>0</x:v>
      </x:c>
      <x:c r="J62" s="27" t="n">
        <x:f>F62+I62</x:f>
        <x:v>580</x:v>
      </x:c>
      <x:c r="K62" s="27" t="n">
        <x:f>E62*('Cost Build'!E9*(1-$G$8)+'Cost Build'!E21+'Cost Build'!E33)</x:f>
        <x:v>266.64070799999996</x:v>
      </x:c>
      <x:c r="L62" s="27" t="n">
        <x:f>K62*(1+'Inputs'!$D$54)</x:f>
        <x:v>293.3047788</x:v>
      </x:c>
      <x:c r="M62" s="27" t="n">
        <x:f>E62*'Inputs'!$D$55</x:f>
        <x:v>30</x:v>
      </x:c>
      <x:c r="N62" s="27" t="n">
        <x:f>'Fleet'!$D$17</x:f>
        <x:v>14.5</x:v>
      </x:c>
      <x:c r="O62" s="27" t="n">
        <x:f>J62*'Inputs'!$D$56+'Inputs'!$D$57</x:f>
        <x:v>21.18</x:v>
      </x:c>
      <x:c r="P62" s="27" t="n">
        <x:f>SUM(L62:O62)</x:f>
        <x:v>358.9847788</x:v>
      </x:c>
      <x:c r="Q62" s="27" t="n">
        <x:f>J62-P62</x:f>
        <x:v>221.01522119999998</x:v>
      </x:c>
      <x:c r="R62" s="33" t="n">
        <x:f>Q62/J62</x:f>
        <x:v>0.3810607262068965</x:v>
      </x:c>
      <x:c r="S62" s="27" t="n">
        <x:f>0</x:f>
        <x:v>0</x:v>
      </x:c>
      <x:c r="T62" s="27" t="n">
        <x:f>J62+S62</x:f>
        <x:v>580</x:v>
      </x:c>
    </x:row>
    <x:row r="63" ht="22" customHeight="1">
      <x:c r="A63" s="1"/>
      <x:c r="B63" s="1"/>
      <x:c r="C63" s="1" t="str">
        <x:v>Flat $29 unlimited</x:v>
      </x:c>
      <x:c r="D63" s="1" t="str">
        <x:v>Typical</x:v>
      </x:c>
      <x:c r="E63" s="1" t="n">
        <x:v>50</x:v>
      </x:c>
      <x:c r="F63" s="27" t="n">
        <x:f>IF($H$8&gt;0,$H$8+MAX(0,E63-$I$8)*$J$8,MAX(E63,'Inputs'!$D$9)*$D$8)</x:f>
        <x:v>1450</x:v>
      </x:c>
      <x:c r="G63" s="27" t="n">
        <x:f>E63*'Cost Build'!E9*(1-$G$8)*$F$8</x:f>
        <x:v>0</x:v>
      </x:c>
      <x:c r="H63" s="27" t="n">
        <x:f>IF($H$8&gt;0,20,MAX(E63,'Inputs'!$D$9)*$E$8)</x:f>
        <x:v>0</x:v>
      </x:c>
      <x:c r="I63" s="27" t="n">
        <x:f>MAX(0,G63-H63)</x:f>
        <x:v>0</x:v>
      </x:c>
      <x:c r="J63" s="27" t="n">
        <x:f>F63+I63</x:f>
        <x:v>1450</x:v>
      </x:c>
      <x:c r="K63" s="27" t="n">
        <x:f>E63*('Cost Build'!E9*(1-$G$8)+'Cost Build'!E21+'Cost Build'!E33)</x:f>
        <x:v>666.60177</x:v>
      </x:c>
      <x:c r="L63" s="27" t="n">
        <x:f>K63*(1+'Inputs'!$D$54)</x:f>
        <x:v>733.2619470000001</x:v>
      </x:c>
      <x:c r="M63" s="27" t="n">
        <x:f>E63*'Inputs'!$D$55</x:f>
        <x:v>75</x:v>
      </x:c>
      <x:c r="N63" s="27" t="n">
        <x:f>'Fleet'!$D$17</x:f>
        <x:v>14.5</x:v>
      </x:c>
      <x:c r="O63" s="27" t="n">
        <x:f>J63*'Inputs'!$D$56+'Inputs'!$D$57</x:f>
        <x:v>52.49999999999999</x:v>
      </x:c>
      <x:c r="P63" s="27" t="n">
        <x:f>SUM(L63:O63)</x:f>
        <x:v>875.2619470000001</x:v>
      </x:c>
      <x:c r="Q63" s="27" t="n">
        <x:f>J63-P63</x:f>
        <x:v>574.7380529999999</x:v>
      </x:c>
      <x:c r="R63" s="33" t="n">
        <x:f>Q63/J63</x:f>
        <x:v>0.3963710710344827</x:v>
      </x:c>
      <x:c r="S63" s="27" t="n">
        <x:f>0</x:f>
        <x:v>0</x:v>
      </x:c>
      <x:c r="T63" s="27" t="n">
        <x:f>J63+S63</x:f>
        <x:v>1450</x:v>
      </x:c>
    </x:row>
    <x:row r="64" ht="22" customHeight="1">
      <x:c r="A64" s="1"/>
      <x:c r="B64" s="1"/>
      <x:c r="C64" s="1" t="str">
        <x:v>Flat $29 unlimited</x:v>
      </x:c>
      <x:c r="D64" s="1" t="str">
        <x:v>Typical</x:v>
      </x:c>
      <x:c r="E64" s="1" t="n">
        <x:v>100</x:v>
      </x:c>
      <x:c r="F64" s="27" t="n">
        <x:f>IF($H$8&gt;0,$H$8+MAX(0,E64-$I$8)*$J$8,MAX(E64,'Inputs'!$D$9)*$D$8)</x:f>
        <x:v>2900</x:v>
      </x:c>
      <x:c r="G64" s="27" t="n">
        <x:f>E64*'Cost Build'!E9*(1-$G$8)*$F$8</x:f>
        <x:v>0</x:v>
      </x:c>
      <x:c r="H64" s="27" t="n">
        <x:f>IF($H$8&gt;0,20,MAX(E64,'Inputs'!$D$9)*$E$8)</x:f>
        <x:v>0</x:v>
      </x:c>
      <x:c r="I64" s="27" t="n">
        <x:f>MAX(0,G64-H64)</x:f>
        <x:v>0</x:v>
      </x:c>
      <x:c r="J64" s="27" t="n">
        <x:f>F64+I64</x:f>
        <x:v>2900</x:v>
      </x:c>
      <x:c r="K64" s="27" t="n">
        <x:f>E64*('Cost Build'!E9*(1-$G$8)+'Cost Build'!E21+'Cost Build'!E33)</x:f>
        <x:v>1333.20354</x:v>
      </x:c>
      <x:c r="L64" s="27" t="n">
        <x:f>K64*(1+'Inputs'!$D$54)</x:f>
        <x:v>1466.5238940000002</x:v>
      </x:c>
      <x:c r="M64" s="27" t="n">
        <x:f>E64*'Inputs'!$D$55</x:f>
        <x:v>150</x:v>
      </x:c>
      <x:c r="N64" s="27" t="n">
        <x:f>'Fleet'!$D$17</x:f>
        <x:v>14.5</x:v>
      </x:c>
      <x:c r="O64" s="27" t="n">
        <x:f>J64*'Inputs'!$D$56+'Inputs'!$D$57</x:f>
        <x:v>104.69999999999999</x:v>
      </x:c>
      <x:c r="P64" s="27" t="n">
        <x:f>SUM(L64:O64)</x:f>
        <x:v>1735.7238940000002</x:v>
      </x:c>
      <x:c r="Q64" s="27" t="n">
        <x:f>J64-P64</x:f>
        <x:v>1164.2761059999998</x:v>
      </x:c>
      <x:c r="R64" s="33" t="n">
        <x:f>Q64/J64</x:f>
        <x:v>0.4014745193103448</x:v>
      </x:c>
      <x:c r="S64" s="27" t="n">
        <x:f>0</x:f>
        <x:v>0</x:v>
      </x:c>
      <x:c r="T64" s="27" t="n">
        <x:f>J64+S64</x:f>
        <x:v>2900</x:v>
      </x:c>
    </x:row>
    <x:row r="65" ht="22" customHeight="1">
      <x:c r="A65" s="1"/>
      <x:c r="B65" s="1"/>
      <x:c r="C65" s="1" t="str">
        <x:v>Flat $29 unlimited</x:v>
      </x:c>
      <x:c r="D65" s="1" t="str">
        <x:v>Heavy</x:v>
      </x:c>
      <x:c r="E65" s="1" t="n">
        <x:v>3</x:v>
      </x:c>
      <x:c r="F65" s="27" t="n">
        <x:f>IF($H$8&gt;0,$H$8+MAX(0,E65-$I$8)*$J$8,MAX(E65,'Inputs'!$D$9)*$D$8)</x:f>
        <x:v>87</x:v>
      </x:c>
      <x:c r="G65" s="27" t="n">
        <x:f>E65*'Cost Build'!F9*(1-$G$8)*$F$8</x:f>
        <x:v>0</x:v>
      </x:c>
      <x:c r="H65" s="27" t="n">
        <x:f>IF($H$8&gt;0,20,MAX(E65,'Inputs'!$D$9)*$E$8)</x:f>
        <x:v>0</x:v>
      </x:c>
      <x:c r="I65" s="27" t="n">
        <x:f>MAX(0,G65-H65)</x:f>
        <x:v>0</x:v>
      </x:c>
      <x:c r="J65" s="27" t="n">
        <x:f>F65+I65</x:f>
        <x:v>87</x:v>
      </x:c>
      <x:c r="K65" s="27" t="n">
        <x:f>E65*('Cost Build'!F9*(1-$G$8)+'Cost Build'!F21+'Cost Build'!F33)</x:f>
        <x:v>151.407828</x:v>
      </x:c>
      <x:c r="L65" s="27" t="n">
        <x:f>K65*(1+'Inputs'!$D$54)</x:f>
        <x:v>166.5486108</x:v>
      </x:c>
      <x:c r="M65" s="27" t="n">
        <x:f>E65*'Inputs'!$D$55</x:f>
        <x:v>4.5</x:v>
      </x:c>
      <x:c r="N65" s="27" t="n">
        <x:f>'Fleet'!$D$17</x:f>
        <x:v>14.5</x:v>
      </x:c>
      <x:c r="O65" s="27" t="n">
        <x:f>J65*'Inputs'!$D$56+'Inputs'!$D$57</x:f>
        <x:v>3.4319999999999995</x:v>
      </x:c>
      <x:c r="P65" s="27" t="n">
        <x:f>SUM(L65:O65)</x:f>
        <x:v>188.9806108</x:v>
      </x:c>
      <x:c r="Q65" s="27" t="n">
        <x:f>J65-P65</x:f>
        <x:v>-101.9806108</x:v>
      </x:c>
      <x:c r="R65" s="33" t="n">
        <x:f>Q65/J65</x:f>
        <x:v>-1.172190928735632</x:v>
      </x:c>
      <x:c r="S65" s="27" t="n">
        <x:f>0</x:f>
        <x:v>0</x:v>
      </x:c>
      <x:c r="T65" s="27" t="n">
        <x:f>J65+S65</x:f>
        <x:v>87</x:v>
      </x:c>
    </x:row>
    <x:row r="66" ht="22" customHeight="1">
      <x:c r="A66" s="1"/>
      <x:c r="B66" s="1"/>
      <x:c r="C66" s="1" t="str">
        <x:v>Flat $29 unlimited</x:v>
      </x:c>
      <x:c r="D66" s="1" t="str">
        <x:v>Heavy</x:v>
      </x:c>
      <x:c r="E66" s="1" t="n">
        <x:v>5</x:v>
      </x:c>
      <x:c r="F66" s="27" t="n">
        <x:f>IF($H$8&gt;0,$H$8+MAX(0,E66-$I$8)*$J$8,MAX(E66,'Inputs'!$D$9)*$D$8)</x:f>
        <x:v>145</x:v>
      </x:c>
      <x:c r="G66" s="27" t="n">
        <x:f>E66*'Cost Build'!F9*(1-$G$8)*$F$8</x:f>
        <x:v>0</x:v>
      </x:c>
      <x:c r="H66" s="27" t="n">
        <x:f>IF($H$8&gt;0,20,MAX(E66,'Inputs'!$D$9)*$E$8)</x:f>
        <x:v>0</x:v>
      </x:c>
      <x:c r="I66" s="27" t="n">
        <x:f>MAX(0,G66-H66)</x:f>
        <x:v>0</x:v>
      </x:c>
      <x:c r="J66" s="27" t="n">
        <x:f>F66+I66</x:f>
        <x:v>145</x:v>
      </x:c>
      <x:c r="K66" s="27" t="n">
        <x:f>E66*('Cost Build'!F9*(1-$G$8)+'Cost Build'!F21+'Cost Build'!F33)</x:f>
        <x:v>252.34638</x:v>
      </x:c>
      <x:c r="L66" s="27" t="n">
        <x:f>K66*(1+'Inputs'!$D$54)</x:f>
        <x:v>277.58101800000003</x:v>
      </x:c>
      <x:c r="M66" s="27" t="n">
        <x:f>E66*'Inputs'!$D$55</x:f>
        <x:v>7.5</x:v>
      </x:c>
      <x:c r="N66" s="27" t="n">
        <x:f>'Fleet'!$D$17</x:f>
        <x:v>14.5</x:v>
      </x:c>
      <x:c r="O66" s="27" t="n">
        <x:f>J66*'Inputs'!$D$56+'Inputs'!$D$57</x:f>
        <x:v>5.52</x:v>
      </x:c>
      <x:c r="P66" s="27" t="n">
        <x:f>SUM(L66:O66)</x:f>
        <x:v>305.101018</x:v>
      </x:c>
      <x:c r="Q66" s="27" t="n">
        <x:f>J66-P66</x:f>
        <x:v>-160.101018</x:v>
      </x:c>
      <x:c r="R66" s="33" t="n">
        <x:f>Q66/J66</x:f>
        <x:v>-1.104144951724138</x:v>
      </x:c>
      <x:c r="S66" s="27" t="n">
        <x:f>0</x:f>
        <x:v>0</x:v>
      </x:c>
      <x:c r="T66" s="27" t="n">
        <x:f>J66+S66</x:f>
        <x:v>145</x:v>
      </x:c>
    </x:row>
    <x:row r="67" ht="22" customHeight="1">
      <x:c r="A67" s="1"/>
      <x:c r="B67" s="1"/>
      <x:c r="C67" s="1" t="str">
        <x:v>Flat $29 unlimited</x:v>
      </x:c>
      <x:c r="D67" s="1" t="str">
        <x:v>Heavy</x:v>
      </x:c>
      <x:c r="E67" s="1" t="n">
        <x:v>10</x:v>
      </x:c>
      <x:c r="F67" s="27" t="n">
        <x:f>IF($H$8&gt;0,$H$8+MAX(0,E67-$I$8)*$J$8,MAX(E67,'Inputs'!$D$9)*$D$8)</x:f>
        <x:v>290</x:v>
      </x:c>
      <x:c r="G67" s="27" t="n">
        <x:f>E67*'Cost Build'!F9*(1-$G$8)*$F$8</x:f>
        <x:v>0</x:v>
      </x:c>
      <x:c r="H67" s="27" t="n">
        <x:f>IF($H$8&gt;0,20,MAX(E67,'Inputs'!$D$9)*$E$8)</x:f>
        <x:v>0</x:v>
      </x:c>
      <x:c r="I67" s="27" t="n">
        <x:f>MAX(0,G67-H67)</x:f>
        <x:v>0</x:v>
      </x:c>
      <x:c r="J67" s="27" t="n">
        <x:f>F67+I67</x:f>
        <x:v>290</x:v>
      </x:c>
      <x:c r="K67" s="27" t="n">
        <x:f>E67*('Cost Build'!F9*(1-$G$8)+'Cost Build'!F21+'Cost Build'!F33)</x:f>
        <x:v>504.69276</x:v>
      </x:c>
      <x:c r="L67" s="27" t="n">
        <x:f>K67*(1+'Inputs'!$D$54)</x:f>
        <x:v>555.1620360000001</x:v>
      </x:c>
      <x:c r="M67" s="27" t="n">
        <x:f>E67*'Inputs'!$D$55</x:f>
        <x:v>15</x:v>
      </x:c>
      <x:c r="N67" s="27" t="n">
        <x:f>'Fleet'!$D$17</x:f>
        <x:v>14.5</x:v>
      </x:c>
      <x:c r="O67" s="27" t="n">
        <x:f>J67*'Inputs'!$D$56+'Inputs'!$D$57</x:f>
        <x:v>10.74</x:v>
      </x:c>
      <x:c r="P67" s="27" t="n">
        <x:f>SUM(L67:O67)</x:f>
        <x:v>595.4020360000001</x:v>
      </x:c>
      <x:c r="Q67" s="27" t="n">
        <x:f>J67-P67</x:f>
        <x:v>-305.40203600000007</x:v>
      </x:c>
      <x:c r="R67" s="33" t="n">
        <x:f>Q67/J67</x:f>
        <x:v>-1.0531104689655175</x:v>
      </x:c>
      <x:c r="S67" s="27" t="n">
        <x:f>0</x:f>
        <x:v>0</x:v>
      </x:c>
      <x:c r="T67" s="27" t="n">
        <x:f>J67+S67</x:f>
        <x:v>290</x:v>
      </x:c>
    </x:row>
    <x:row r="68" ht="22" customHeight="1">
      <x:c r="A68" s="1"/>
      <x:c r="B68" s="1"/>
      <x:c r="C68" s="1" t="str">
        <x:v>Flat $29 unlimited</x:v>
      </x:c>
      <x:c r="D68" s="1" t="str">
        <x:v>Heavy</x:v>
      </x:c>
      <x:c r="E68" s="1" t="n">
        <x:v>20</x:v>
      </x:c>
      <x:c r="F68" s="27" t="n">
        <x:f>IF($H$8&gt;0,$H$8+MAX(0,E68-$I$8)*$J$8,MAX(E68,'Inputs'!$D$9)*$D$8)</x:f>
        <x:v>580</x:v>
      </x:c>
      <x:c r="G68" s="27" t="n">
        <x:f>E68*'Cost Build'!F9*(1-$G$8)*$F$8</x:f>
        <x:v>0</x:v>
      </x:c>
      <x:c r="H68" s="27" t="n">
        <x:f>IF($H$8&gt;0,20,MAX(E68,'Inputs'!$D$9)*$E$8)</x:f>
        <x:v>0</x:v>
      </x:c>
      <x:c r="I68" s="27" t="n">
        <x:f>MAX(0,G68-H68)</x:f>
        <x:v>0</x:v>
      </x:c>
      <x:c r="J68" s="27" t="n">
        <x:f>F68+I68</x:f>
        <x:v>580</x:v>
      </x:c>
      <x:c r="K68" s="27" t="n">
        <x:f>E68*('Cost Build'!F9*(1-$G$8)+'Cost Build'!F21+'Cost Build'!F33)</x:f>
        <x:v>1009.38552</x:v>
      </x:c>
      <x:c r="L68" s="27" t="n">
        <x:f>K68*(1+'Inputs'!$D$54)</x:f>
        <x:v>1110.3240720000001</x:v>
      </x:c>
      <x:c r="M68" s="27" t="n">
        <x:f>E68*'Inputs'!$D$55</x:f>
        <x:v>30</x:v>
      </x:c>
      <x:c r="N68" s="27" t="n">
        <x:f>'Fleet'!$D$17</x:f>
        <x:v>14.5</x:v>
      </x:c>
      <x:c r="O68" s="27" t="n">
        <x:f>J68*'Inputs'!$D$56+'Inputs'!$D$57</x:f>
        <x:v>21.18</x:v>
      </x:c>
      <x:c r="P68" s="27" t="n">
        <x:f>SUM(L68:O68)</x:f>
        <x:v>1176.0040720000002</x:v>
      </x:c>
      <x:c r="Q68" s="27" t="n">
        <x:f>J68-P68</x:f>
        <x:v>-596.0040720000002</x:v>
      </x:c>
      <x:c r="R68" s="33" t="n">
        <x:f>Q68/J68</x:f>
        <x:v>-1.0275932275862072</x:v>
      </x:c>
      <x:c r="S68" s="27" t="n">
        <x:f>0</x:f>
        <x:v>0</x:v>
      </x:c>
      <x:c r="T68" s="27" t="n">
        <x:f>J68+S68</x:f>
        <x:v>580</x:v>
      </x:c>
    </x:row>
    <x:row r="69" ht="22" customHeight="1">
      <x:c r="A69" s="1"/>
      <x:c r="B69" s="1"/>
      <x:c r="C69" s="1" t="str">
        <x:v>Flat $29 unlimited</x:v>
      </x:c>
      <x:c r="D69" s="1" t="str">
        <x:v>Heavy</x:v>
      </x:c>
      <x:c r="E69" s="1" t="n">
        <x:v>50</x:v>
      </x:c>
      <x:c r="F69" s="27" t="n">
        <x:f>IF($H$8&gt;0,$H$8+MAX(0,E69-$I$8)*$J$8,MAX(E69,'Inputs'!$D$9)*$D$8)</x:f>
        <x:v>1450</x:v>
      </x:c>
      <x:c r="G69" s="27" t="n">
        <x:f>E69*'Cost Build'!F9*(1-$G$8)*$F$8</x:f>
        <x:v>0</x:v>
      </x:c>
      <x:c r="H69" s="27" t="n">
        <x:f>IF($H$8&gt;0,20,MAX(E69,'Inputs'!$D$9)*$E$8)</x:f>
        <x:v>0</x:v>
      </x:c>
      <x:c r="I69" s="27" t="n">
        <x:f>MAX(0,G69-H69)</x:f>
        <x:v>0</x:v>
      </x:c>
      <x:c r="J69" s="27" t="n">
        <x:f>F69+I69</x:f>
        <x:v>1450</x:v>
      </x:c>
      <x:c r="K69" s="27" t="n">
        <x:f>E69*('Cost Build'!F9*(1-$G$8)+'Cost Build'!F21+'Cost Build'!F33)</x:f>
        <x:v>2523.4638</x:v>
      </x:c>
      <x:c r="L69" s="27" t="n">
        <x:f>K69*(1+'Inputs'!$D$54)</x:f>
        <x:v>2775.8101800000004</x:v>
      </x:c>
      <x:c r="M69" s="27" t="n">
        <x:f>E69*'Inputs'!$D$55</x:f>
        <x:v>75</x:v>
      </x:c>
      <x:c r="N69" s="27" t="n">
        <x:f>'Fleet'!$D$17</x:f>
        <x:v>14.5</x:v>
      </x:c>
      <x:c r="O69" s="27" t="n">
        <x:f>J69*'Inputs'!$D$56+'Inputs'!$D$57</x:f>
        <x:v>52.49999999999999</x:v>
      </x:c>
      <x:c r="P69" s="27" t="n">
        <x:f>SUM(L69:O69)</x:f>
        <x:v>2917.8101800000004</x:v>
      </x:c>
      <x:c r="Q69" s="27" t="n">
        <x:f>J69-P69</x:f>
        <x:v>-1467.8101800000004</x:v>
      </x:c>
      <x:c r="R69" s="33" t="n">
        <x:f>Q69/J69</x:f>
        <x:v>-1.012282882758621</x:v>
      </x:c>
      <x:c r="S69" s="27" t="n">
        <x:f>0</x:f>
        <x:v>0</x:v>
      </x:c>
      <x:c r="T69" s="27" t="n">
        <x:f>J69+S69</x:f>
        <x:v>1450</x:v>
      </x:c>
    </x:row>
    <x:row r="70" ht="22" customHeight="1">
      <x:c r="A70" s="1"/>
      <x:c r="B70" s="1"/>
      <x:c r="C70" s="1" t="str">
        <x:v>Flat $29 unlimited</x:v>
      </x:c>
      <x:c r="D70" s="1" t="str">
        <x:v>Heavy</x:v>
      </x:c>
      <x:c r="E70" s="1" t="n">
        <x:v>100</x:v>
      </x:c>
      <x:c r="F70" s="27" t="n">
        <x:f>IF($H$8&gt;0,$H$8+MAX(0,E70-$I$8)*$J$8,MAX(E70,'Inputs'!$D$9)*$D$8)</x:f>
        <x:v>2900</x:v>
      </x:c>
      <x:c r="G70" s="27" t="n">
        <x:f>E70*'Cost Build'!F9*(1-$G$8)*$F$8</x:f>
        <x:v>0</x:v>
      </x:c>
      <x:c r="H70" s="27" t="n">
        <x:f>IF($H$8&gt;0,20,MAX(E70,'Inputs'!$D$9)*$E$8)</x:f>
        <x:v>0</x:v>
      </x:c>
      <x:c r="I70" s="27" t="n">
        <x:f>MAX(0,G70-H70)</x:f>
        <x:v>0</x:v>
      </x:c>
      <x:c r="J70" s="27" t="n">
        <x:f>F70+I70</x:f>
        <x:v>2900</x:v>
      </x:c>
      <x:c r="K70" s="27" t="n">
        <x:f>E70*('Cost Build'!F9*(1-$G$8)+'Cost Build'!F21+'Cost Build'!F33)</x:f>
        <x:v>5046.9276</x:v>
      </x:c>
      <x:c r="L70" s="27" t="n">
        <x:f>K70*(1+'Inputs'!$D$54)</x:f>
        <x:v>5551.620360000001</x:v>
      </x:c>
      <x:c r="M70" s="27" t="n">
        <x:f>E70*'Inputs'!$D$55</x:f>
        <x:v>150</x:v>
      </x:c>
      <x:c r="N70" s="27" t="n">
        <x:f>'Fleet'!$D$17</x:f>
        <x:v>14.5</x:v>
      </x:c>
      <x:c r="O70" s="27" t="n">
        <x:f>J70*'Inputs'!$D$56+'Inputs'!$D$57</x:f>
        <x:v>104.69999999999999</x:v>
      </x:c>
      <x:c r="P70" s="27" t="n">
        <x:f>SUM(L70:O70)</x:f>
        <x:v>5820.820360000001</x:v>
      </x:c>
      <x:c r="Q70" s="27" t="n">
        <x:f>J70-P70</x:f>
        <x:v>-2920.8203600000006</x:v>
      </x:c>
      <x:c r="R70" s="33" t="n">
        <x:f>Q70/J70</x:f>
        <x:v>-1.007179434482759</x:v>
      </x:c>
      <x:c r="S70" s="27" t="n">
        <x:f>0</x:f>
        <x:v>0</x:v>
      </x:c>
      <x:c r="T70" s="27" t="n">
        <x:f>J70+S70</x:f>
        <x:v>2900</x:v>
      </x:c>
    </x:row>
    <x:row r="71" ht="22" customHeight="1">
      <x:c r="A71" s="1"/>
      <x:c r="B71" s="1"/>
      <x:c r="C71" s="1" t="str">
        <x:v>Seat + API at cost</x:v>
      </x:c>
      <x:c r="D71" s="1" t="str">
        <x:v>Light</x:v>
      </x:c>
      <x:c r="E71" s="1" t="n">
        <x:v>3</x:v>
      </x:c>
      <x:c r="F71" s="27" t="n">
        <x:f>IF($H$9&gt;0,$H$9+MAX(0,E71-$I$9)*$J$9,MAX(E71,'Inputs'!$D$9)*$D$9)</x:f>
        <x:v>87</x:v>
      </x:c>
      <x:c r="G71" s="27" t="n">
        <x:f>E71*'Cost Build'!D9*(1-$G$9)*$F$9</x:f>
        <x:v>4.781700000000001</x:v>
      </x:c>
      <x:c r="H71" s="27" t="n">
        <x:f>IF($H$9&gt;0,20,MAX(E71,'Inputs'!$D$9)*$E$9)</x:f>
        <x:v>0</x:v>
      </x:c>
      <x:c r="I71" s="27" t="n">
        <x:f>MAX(0,G71-H71)+E71*'Cost Build'!D52</x:f>
        <x:v>4.781700000000001</x:v>
      </x:c>
      <x:c r="J71" s="27" t="n">
        <x:f>F71+I71</x:f>
        <x:v>91.7817</x:v>
      </x:c>
      <x:c r="K71" s="27" t="n">
        <x:f>E71*('Cost Build'!D9*(1-$G$9)+'Cost Build'!D21+'Cost Build'!D33)</x:f>
        <x:v>12.409656239999999</x:v>
      </x:c>
      <x:c r="L71" s="27" t="n">
        <x:f>K71*(1+'Inputs'!$D$54)</x:f>
        <x:v>13.650621864</x:v>
      </x:c>
      <x:c r="M71" s="27" t="n">
        <x:f>E71*'Inputs'!$D$55</x:f>
        <x:v>4.5</x:v>
      </x:c>
      <x:c r="N71" s="27" t="n">
        <x:f>'Fleet'!$D$17</x:f>
        <x:v>14.5</x:v>
      </x:c>
      <x:c r="O71" s="27" t="n">
        <x:f>J71*'Inputs'!$D$56+'Inputs'!$D$57</x:f>
        <x:v>3.6041411999999995</x:v>
      </x:c>
      <x:c r="P71" s="27" t="n">
        <x:f>SUM(L71:O71)</x:f>
        <x:v>36.254763064</x:v>
      </x:c>
      <x:c r="Q71" s="27" t="n">
        <x:f>J71-P71</x:f>
        <x:v>55.526936936</x:v>
      </x:c>
      <x:c r="R71" s="33" t="n">
        <x:f>Q71/J71</x:f>
        <x:v>0.6049891964955977</x:v>
      </x:c>
      <x:c r="S71" s="27" t="n">
        <x:f>0</x:f>
        <x:v>0</x:v>
      </x:c>
      <x:c r="T71" s="27" t="n">
        <x:f>J71+S71</x:f>
        <x:v>91.7817</x:v>
      </x:c>
    </x:row>
    <x:row r="72" ht="22" customHeight="1">
      <x:c r="A72" s="1"/>
      <x:c r="B72" s="1"/>
      <x:c r="C72" s="1" t="str">
        <x:v>Seat + API at cost</x:v>
      </x:c>
      <x:c r="D72" s="1" t="str">
        <x:v>Light</x:v>
      </x:c>
      <x:c r="E72" s="1" t="n">
        <x:v>5</x:v>
      </x:c>
      <x:c r="F72" s="27" t="n">
        <x:f>IF($H$9&gt;0,$H$9+MAX(0,E72-$I$9)*$J$9,MAX(E72,'Inputs'!$D$9)*$D$9)</x:f>
        <x:v>145</x:v>
      </x:c>
      <x:c r="G72" s="27" t="n">
        <x:f>E72*'Cost Build'!D9*(1-$G$9)*$F$9</x:f>
        <x:v>7.9695</x:v>
      </x:c>
      <x:c r="H72" s="27" t="n">
        <x:f>IF($H$9&gt;0,20,MAX(E72,'Inputs'!$D$9)*$E$9)</x:f>
        <x:v>0</x:v>
      </x:c>
      <x:c r="I72" s="27" t="n">
        <x:f>MAX(0,G72-H72)+E72*'Cost Build'!D52</x:f>
        <x:v>7.9695</x:v>
      </x:c>
      <x:c r="J72" s="27" t="n">
        <x:f>F72+I72</x:f>
        <x:v>152.9695</x:v>
      </x:c>
      <x:c r="K72" s="27" t="n">
        <x:f>E72*('Cost Build'!D9*(1-$G$9)+'Cost Build'!D21+'Cost Build'!D33)</x:f>
        <x:v>20.6827604</x:v>
      </x:c>
      <x:c r="L72" s="27" t="n">
        <x:f>K72*(1+'Inputs'!$D$54)</x:f>
        <x:v>22.75103644</x:v>
      </x:c>
      <x:c r="M72" s="27" t="n">
        <x:f>E72*'Inputs'!$D$55</x:f>
        <x:v>7.5</x:v>
      </x:c>
      <x:c r="N72" s="27" t="n">
        <x:f>'Fleet'!$D$17</x:f>
        <x:v>14.5</x:v>
      </x:c>
      <x:c r="O72" s="27" t="n">
        <x:f>J72*'Inputs'!$D$56+'Inputs'!$D$57</x:f>
        <x:v>5.806902</x:v>
      </x:c>
      <x:c r="P72" s="27" t="n">
        <x:f>SUM(L72:O72)</x:f>
        <x:v>50.55793844</x:v>
      </x:c>
      <x:c r="Q72" s="27" t="n">
        <x:f>J72-P72</x:f>
        <x:v>102.41156156000001</x:v>
      </x:c>
      <x:c r="R72" s="33" t="n">
        <x:f>Q72/J72</x:f>
        <x:v>0.669490071942446</x:v>
      </x:c>
      <x:c r="S72" s="27" t="n">
        <x:f>0</x:f>
        <x:v>0</x:v>
      </x:c>
      <x:c r="T72" s="27" t="n">
        <x:f>J72+S72</x:f>
        <x:v>152.9695</x:v>
      </x:c>
    </x:row>
    <x:row r="73" ht="22" customHeight="1">
      <x:c r="A73" s="1"/>
      <x:c r="B73" s="1"/>
      <x:c r="C73" s="1" t="str">
        <x:v>Seat + API at cost</x:v>
      </x:c>
      <x:c r="D73" s="1" t="str">
        <x:v>Light</x:v>
      </x:c>
      <x:c r="E73" s="1" t="n">
        <x:v>10</x:v>
      </x:c>
      <x:c r="F73" s="27" t="n">
        <x:f>IF($H$9&gt;0,$H$9+MAX(0,E73-$I$9)*$J$9,MAX(E73,'Inputs'!$D$9)*$D$9)</x:f>
        <x:v>290</x:v>
      </x:c>
      <x:c r="G73" s="27" t="n">
        <x:f>E73*'Cost Build'!D9*(1-$G$9)*$F$9</x:f>
        <x:v>15.939</x:v>
      </x:c>
      <x:c r="H73" s="27" t="n">
        <x:f>IF($H$9&gt;0,20,MAX(E73,'Inputs'!$D$9)*$E$9)</x:f>
        <x:v>0</x:v>
      </x:c>
      <x:c r="I73" s="27" t="n">
        <x:f>MAX(0,G73-H73)+E73*'Cost Build'!D52</x:f>
        <x:v>15.939</x:v>
      </x:c>
      <x:c r="J73" s="27" t="n">
        <x:f>F73+I73</x:f>
        <x:v>305.939</x:v>
      </x:c>
      <x:c r="K73" s="27" t="n">
        <x:f>E73*('Cost Build'!D9*(1-$G$9)+'Cost Build'!D21+'Cost Build'!D33)</x:f>
        <x:v>41.3655208</x:v>
      </x:c>
      <x:c r="L73" s="27" t="n">
        <x:f>K73*(1+'Inputs'!$D$54)</x:f>
        <x:v>45.50207288</x:v>
      </x:c>
      <x:c r="M73" s="27" t="n">
        <x:f>E73*'Inputs'!$D$55</x:f>
        <x:v>15</x:v>
      </x:c>
      <x:c r="N73" s="27" t="n">
        <x:f>'Fleet'!$D$17</x:f>
        <x:v>14.5</x:v>
      </x:c>
      <x:c r="O73" s="27" t="n">
        <x:f>J73*'Inputs'!$D$56+'Inputs'!$D$57</x:f>
        <x:v>11.313804000000001</x:v>
      </x:c>
      <x:c r="P73" s="27" t="n">
        <x:f>SUM(L73:O73)</x:f>
        <x:v>86.31587688</x:v>
      </x:c>
      <x:c r="Q73" s="27" t="n">
        <x:f>J73-P73</x:f>
        <x:v>219.62312312</x:v>
      </x:c>
      <x:c r="R73" s="33" t="n">
        <x:f>Q73/J73</x:f>
        <x:v>0.7178657285275822</x:v>
      </x:c>
      <x:c r="S73" s="27" t="n">
        <x:f>0</x:f>
        <x:v>0</x:v>
      </x:c>
      <x:c r="T73" s="27" t="n">
        <x:f>J73+S73</x:f>
        <x:v>305.939</x:v>
      </x:c>
    </x:row>
    <x:row r="74" ht="22" customHeight="1">
      <x:c r="A74" s="1"/>
      <x:c r="B74" s="1"/>
      <x:c r="C74" s="1" t="str">
        <x:v>Seat + API at cost</x:v>
      </x:c>
      <x:c r="D74" s="1" t="str">
        <x:v>Light</x:v>
      </x:c>
      <x:c r="E74" s="1" t="n">
        <x:v>20</x:v>
      </x:c>
      <x:c r="F74" s="27" t="n">
        <x:f>IF($H$9&gt;0,$H$9+MAX(0,E74-$I$9)*$J$9,MAX(E74,'Inputs'!$D$9)*$D$9)</x:f>
        <x:v>580</x:v>
      </x:c>
      <x:c r="G74" s="27" t="n">
        <x:f>E74*'Cost Build'!D9*(1-$G$9)*$F$9</x:f>
        <x:v>31.878</x:v>
      </x:c>
      <x:c r="H74" s="27" t="n">
        <x:f>IF($H$9&gt;0,20,MAX(E74,'Inputs'!$D$9)*$E$9)</x:f>
        <x:v>0</x:v>
      </x:c>
      <x:c r="I74" s="27" t="n">
        <x:f>MAX(0,G74-H74)+E74*'Cost Build'!D52</x:f>
        <x:v>31.878</x:v>
      </x:c>
      <x:c r="J74" s="27" t="n">
        <x:f>F74+I74</x:f>
        <x:v>611.878</x:v>
      </x:c>
      <x:c r="K74" s="27" t="n">
        <x:f>E74*('Cost Build'!D9*(1-$G$9)+'Cost Build'!D21+'Cost Build'!D33)</x:f>
        <x:v>82.7310416</x:v>
      </x:c>
      <x:c r="L74" s="27" t="n">
        <x:f>K74*(1+'Inputs'!$D$54)</x:f>
        <x:v>91.00414576</x:v>
      </x:c>
      <x:c r="M74" s="27" t="n">
        <x:f>E74*'Inputs'!$D$55</x:f>
        <x:v>30</x:v>
      </x:c>
      <x:c r="N74" s="27" t="n">
        <x:f>'Fleet'!$D$17</x:f>
        <x:v>14.5</x:v>
      </x:c>
      <x:c r="O74" s="27" t="n">
        <x:f>J74*'Inputs'!$D$56+'Inputs'!$D$57</x:f>
        <x:v>22.327608</x:v>
      </x:c>
      <x:c r="P74" s="27" t="n">
        <x:f>SUM(L74:O74)</x:f>
        <x:v>157.83175376</x:v>
      </x:c>
      <x:c r="Q74" s="27" t="n">
        <x:f>J74-P74</x:f>
        <x:v>454.0462462400001</x:v>
      </x:c>
      <x:c r="R74" s="33" t="n">
        <x:f>Q74/J74</x:f>
        <x:v>0.7420535568201505</x:v>
      </x:c>
      <x:c r="S74" s="27" t="n">
        <x:f>0</x:f>
        <x:v>0</x:v>
      </x:c>
      <x:c r="T74" s="27" t="n">
        <x:f>J74+S74</x:f>
        <x:v>611.878</x:v>
      </x:c>
    </x:row>
    <x:row r="75" ht="22" customHeight="1">
      <x:c r="A75" s="1"/>
      <x:c r="B75" s="1"/>
      <x:c r="C75" s="1" t="str">
        <x:v>Seat + API at cost</x:v>
      </x:c>
      <x:c r="D75" s="1" t="str">
        <x:v>Light</x:v>
      </x:c>
      <x:c r="E75" s="1" t="n">
        <x:v>50</x:v>
      </x:c>
      <x:c r="F75" s="27" t="n">
        <x:f>IF($H$9&gt;0,$H$9+MAX(0,E75-$I$9)*$J$9,MAX(E75,'Inputs'!$D$9)*$D$9)</x:f>
        <x:v>1450</x:v>
      </x:c>
      <x:c r="G75" s="27" t="n">
        <x:f>E75*'Cost Build'!D9*(1-$G$9)*$F$9</x:f>
        <x:v>79.69500000000001</x:v>
      </x:c>
      <x:c r="H75" s="27" t="n">
        <x:f>IF($H$9&gt;0,20,MAX(E75,'Inputs'!$D$9)*$E$9)</x:f>
        <x:v>0</x:v>
      </x:c>
      <x:c r="I75" s="27" t="n">
        <x:f>MAX(0,G75-H75)+E75*'Cost Build'!D52</x:f>
        <x:v>79.69500000000001</x:v>
      </x:c>
      <x:c r="J75" s="27" t="n">
        <x:f>F75+I75</x:f>
        <x:v>1529.695</x:v>
      </x:c>
      <x:c r="K75" s="27" t="n">
        <x:f>E75*('Cost Build'!D9*(1-$G$9)+'Cost Build'!D21+'Cost Build'!D33)</x:f>
        <x:v>206.82760399999998</x:v>
      </x:c>
      <x:c r="L75" s="27" t="n">
        <x:f>K75*(1+'Inputs'!$D$54)</x:f>
        <x:v>227.5103644</x:v>
      </x:c>
      <x:c r="M75" s="27" t="n">
        <x:f>E75*'Inputs'!$D$55</x:f>
        <x:v>75</x:v>
      </x:c>
      <x:c r="N75" s="27" t="n">
        <x:f>'Fleet'!$D$17</x:f>
        <x:v>14.5</x:v>
      </x:c>
      <x:c r="O75" s="27" t="n">
        <x:f>J75*'Inputs'!$D$56+'Inputs'!$D$57</x:f>
        <x:v>55.36901999999999</x:v>
      </x:c>
      <x:c r="P75" s="27" t="n">
        <x:f>SUM(L75:O75)</x:f>
        <x:v>372.37938439999994</x:v>
      </x:c>
      <x:c r="Q75" s="27" t="n">
        <x:f>J75-P75</x:f>
        <x:v>1157.3156156</x:v>
      </x:c>
      <x:c r="R75" s="33" t="n">
        <x:f>Q75/J75</x:f>
        <x:v>0.7565662537956913</x:v>
      </x:c>
      <x:c r="S75" s="27" t="n">
        <x:f>0</x:f>
        <x:v>0</x:v>
      </x:c>
      <x:c r="T75" s="27" t="n">
        <x:f>J75+S75</x:f>
        <x:v>1529.695</x:v>
      </x:c>
    </x:row>
    <x:row r="76" ht="22" customHeight="1">
      <x:c r="A76" s="1"/>
      <x:c r="B76" s="1"/>
      <x:c r="C76" s="1" t="str">
        <x:v>Seat + API at cost</x:v>
      </x:c>
      <x:c r="D76" s="1" t="str">
        <x:v>Light</x:v>
      </x:c>
      <x:c r="E76" s="1" t="n">
        <x:v>100</x:v>
      </x:c>
      <x:c r="F76" s="27" t="n">
        <x:f>IF($H$9&gt;0,$H$9+MAX(0,E76-$I$9)*$J$9,MAX(E76,'Inputs'!$D$9)*$D$9)</x:f>
        <x:v>2900</x:v>
      </x:c>
      <x:c r="G76" s="27" t="n">
        <x:f>E76*'Cost Build'!D9*(1-$G$9)*$F$9</x:f>
        <x:v>159.39000000000001</x:v>
      </x:c>
      <x:c r="H76" s="27" t="n">
        <x:f>IF($H$9&gt;0,20,MAX(E76,'Inputs'!$D$9)*$E$9)</x:f>
        <x:v>0</x:v>
      </x:c>
      <x:c r="I76" s="27" t="n">
        <x:f>MAX(0,G76-H76)+E76*'Cost Build'!D52</x:f>
        <x:v>159.39000000000001</x:v>
      </x:c>
      <x:c r="J76" s="27" t="n">
        <x:f>F76+I76</x:f>
        <x:v>3059.39</x:v>
      </x:c>
      <x:c r="K76" s="27" t="n">
        <x:f>E76*('Cost Build'!D9*(1-$G$9)+'Cost Build'!D21+'Cost Build'!D33)</x:f>
        <x:v>413.65520799999996</x:v>
      </x:c>
      <x:c r="L76" s="27" t="n">
        <x:f>K76*(1+'Inputs'!$D$54)</x:f>
        <x:v>455.0207288</x:v>
      </x:c>
      <x:c r="M76" s="27" t="n">
        <x:f>E76*'Inputs'!$D$55</x:f>
        <x:v>150</x:v>
      </x:c>
      <x:c r="N76" s="27" t="n">
        <x:f>'Fleet'!$D$17</x:f>
        <x:v>14.5</x:v>
      </x:c>
      <x:c r="O76" s="27" t="n">
        <x:f>J76*'Inputs'!$D$56+'Inputs'!$D$57</x:f>
        <x:v>110.43803999999999</x:v>
      </x:c>
      <x:c r="P76" s="27" t="n">
        <x:f>SUM(L76:O76)</x:f>
        <x:v>729.9587687999999</x:v>
      </x:c>
      <x:c r="Q76" s="27" t="n">
        <x:f>J76-P76</x:f>
        <x:v>2329.4312312</x:v>
      </x:c>
      <x:c r="R76" s="33" t="n">
        <x:f>Q76/J76</x:f>
        <x:v>0.761403819454205</x:v>
      </x:c>
      <x:c r="S76" s="27" t="n">
        <x:f>0</x:f>
        <x:v>0</x:v>
      </x:c>
      <x:c r="T76" s="27" t="n">
        <x:f>J76+S76</x:f>
        <x:v>3059.39</x:v>
      </x:c>
    </x:row>
    <x:row r="77" ht="22" customHeight="1">
      <x:c r="A77" s="1"/>
      <x:c r="B77" s="1"/>
      <x:c r="C77" s="1" t="str">
        <x:v>Seat + API at cost</x:v>
      </x:c>
      <x:c r="D77" s="1" t="str">
        <x:v>Typical</x:v>
      </x:c>
      <x:c r="E77" s="1" t="n">
        <x:v>3</x:v>
      </x:c>
      <x:c r="F77" s="27" t="n">
        <x:f>IF($H$9&gt;0,$H$9+MAX(0,E77-$I$9)*$J$9,MAX(E77,'Inputs'!$D$9)*$D$9)</x:f>
        <x:v>87</x:v>
      </x:c>
      <x:c r="G77" s="27" t="n">
        <x:f>E77*'Cost Build'!E9*(1-$G$9)*$F$9</x:f>
        <x:v>15.290099999999999</x:v>
      </x:c>
      <x:c r="H77" s="27" t="n">
        <x:f>IF($H$9&gt;0,20,MAX(E77,'Inputs'!$D$9)*$E$9)</x:f>
        <x:v>0</x:v>
      </x:c>
      <x:c r="I77" s="27" t="n">
        <x:f>MAX(0,G77-H77)+E77*'Cost Build'!E52</x:f>
        <x:v>15.290099999999999</x:v>
      </x:c>
      <x:c r="J77" s="27" t="n">
        <x:f>F77+I77</x:f>
        <x:v>102.2901</x:v>
      </x:c>
      <x:c r="K77" s="27" t="n">
        <x:f>E77*('Cost Build'!E9*(1-$G$9)+'Cost Build'!E21+'Cost Build'!E33)</x:f>
        <x:v>39.9961062</x:v>
      </x:c>
      <x:c r="L77" s="27" t="n">
        <x:f>K77*(1+'Inputs'!$D$54)</x:f>
        <x:v>43.995716820000005</x:v>
      </x:c>
      <x:c r="M77" s="27" t="n">
        <x:f>E77*'Inputs'!$D$55</x:f>
        <x:v>4.5</x:v>
      </x:c>
      <x:c r="N77" s="27" t="n">
        <x:f>'Fleet'!$D$17</x:f>
        <x:v>14.5</x:v>
      </x:c>
      <x:c r="O77" s="27" t="n">
        <x:f>J77*'Inputs'!$D$56+'Inputs'!$D$57</x:f>
        <x:v>3.9824435999999994</x:v>
      </x:c>
      <x:c r="P77" s="27" t="n">
        <x:f>SUM(L77:O77)</x:f>
        <x:v>66.97816042000001</x:v>
      </x:c>
      <x:c r="Q77" s="27" t="n">
        <x:f>J77-P77</x:f>
        <x:v>35.31193957999999</x:v>
      </x:c>
      <x:c r="R77" s="33" t="n">
        <x:f>Q77/J77</x:f>
        <x:v>0.34521365782221336</x:v>
      </x:c>
      <x:c r="S77" s="27" t="n">
        <x:f>0</x:f>
        <x:v>0</x:v>
      </x:c>
      <x:c r="T77" s="27" t="n">
        <x:f>J77+S77</x:f>
        <x:v>102.2901</x:v>
      </x:c>
    </x:row>
    <x:row r="78" ht="22" customHeight="1">
      <x:c r="A78" s="1"/>
      <x:c r="B78" s="1"/>
      <x:c r="C78" s="1" t="str">
        <x:v>Seat + API at cost</x:v>
      </x:c>
      <x:c r="D78" s="1" t="str">
        <x:v>Typical</x:v>
      </x:c>
      <x:c r="E78" s="1" t="n">
        <x:v>5</x:v>
      </x:c>
      <x:c r="F78" s="27" t="n">
        <x:f>IF($H$9&gt;0,$H$9+MAX(0,E78-$I$9)*$J$9,MAX(E78,'Inputs'!$D$9)*$D$9)</x:f>
        <x:v>145</x:v>
      </x:c>
      <x:c r="G78" s="27" t="n">
        <x:f>E78*'Cost Build'!E9*(1-$G$9)*$F$9</x:f>
        <x:v>25.483499999999996</x:v>
      </x:c>
      <x:c r="H78" s="27" t="n">
        <x:f>IF($H$9&gt;0,20,MAX(E78,'Inputs'!$D$9)*$E$9)</x:f>
        <x:v>0</x:v>
      </x:c>
      <x:c r="I78" s="27" t="n">
        <x:f>MAX(0,G78-H78)+E78*'Cost Build'!E52</x:f>
        <x:v>25.483499999999996</x:v>
      </x:c>
      <x:c r="J78" s="27" t="n">
        <x:f>F78+I78</x:f>
        <x:v>170.4835</x:v>
      </x:c>
      <x:c r="K78" s="27" t="n">
        <x:f>E78*('Cost Build'!E9*(1-$G$9)+'Cost Build'!E21+'Cost Build'!E33)</x:f>
        <x:v>66.66017699999999</x:v>
      </x:c>
      <x:c r="L78" s="27" t="n">
        <x:f>K78*(1+'Inputs'!$D$54)</x:f>
        <x:v>73.3261947</x:v>
      </x:c>
      <x:c r="M78" s="27" t="n">
        <x:f>E78*'Inputs'!$D$55</x:f>
        <x:v>7.5</x:v>
      </x:c>
      <x:c r="N78" s="27" t="n">
        <x:f>'Fleet'!$D$17</x:f>
        <x:v>14.5</x:v>
      </x:c>
      <x:c r="O78" s="27" t="n">
        <x:f>J78*'Inputs'!$D$56+'Inputs'!$D$57</x:f>
        <x:v>6.437405999999999</x:v>
      </x:c>
      <x:c r="P78" s="27" t="n">
        <x:f>SUM(L78:O78)</x:f>
        <x:v>101.7636007</x:v>
      </x:c>
      <x:c r="Q78" s="27" t="n">
        <x:f>J78-P78</x:f>
        <x:v>68.7198993</x:v>
      </x:c>
      <x:c r="R78" s="33" t="n">
        <x:f>Q78/J78</x:f>
        <x:v>0.403088271298982</x:v>
      </x:c>
      <x:c r="S78" s="27" t="n">
        <x:f>0</x:f>
        <x:v>0</x:v>
      </x:c>
      <x:c r="T78" s="27" t="n">
        <x:f>J78+S78</x:f>
        <x:v>170.4835</x:v>
      </x:c>
    </x:row>
    <x:row r="79" ht="22" customHeight="1">
      <x:c r="A79" s="1"/>
      <x:c r="B79" s="1"/>
      <x:c r="C79" s="1" t="str">
        <x:v>Seat + API at cost</x:v>
      </x:c>
      <x:c r="D79" s="1" t="str">
        <x:v>Typical</x:v>
      </x:c>
      <x:c r="E79" s="1" t="n">
        <x:v>10</x:v>
      </x:c>
      <x:c r="F79" s="27" t="n">
        <x:f>IF($H$9&gt;0,$H$9+MAX(0,E79-$I$9)*$J$9,MAX(E79,'Inputs'!$D$9)*$D$9)</x:f>
        <x:v>290</x:v>
      </x:c>
      <x:c r="G79" s="27" t="n">
        <x:f>E79*'Cost Build'!E9*(1-$G$9)*$F$9</x:f>
        <x:v>50.96699999999999</x:v>
      </x:c>
      <x:c r="H79" s="27" t="n">
        <x:f>IF($H$9&gt;0,20,MAX(E79,'Inputs'!$D$9)*$E$9)</x:f>
        <x:v>0</x:v>
      </x:c>
      <x:c r="I79" s="27" t="n">
        <x:f>MAX(0,G79-H79)+E79*'Cost Build'!E52</x:f>
        <x:v>50.96699999999999</x:v>
      </x:c>
      <x:c r="J79" s="27" t="n">
        <x:f>F79+I79</x:f>
        <x:v>340.967</x:v>
      </x:c>
      <x:c r="K79" s="27" t="n">
        <x:f>E79*('Cost Build'!E9*(1-$G$9)+'Cost Build'!E21+'Cost Build'!E33)</x:f>
        <x:v>133.32035399999998</x:v>
      </x:c>
      <x:c r="L79" s="27" t="n">
        <x:f>K79*(1+'Inputs'!$D$54)</x:f>
        <x:v>146.6523894</x:v>
      </x:c>
      <x:c r="M79" s="27" t="n">
        <x:f>E79*'Inputs'!$D$55</x:f>
        <x:v>15</x:v>
      </x:c>
      <x:c r="N79" s="27" t="n">
        <x:f>'Fleet'!$D$17</x:f>
        <x:v>14.5</x:v>
      </x:c>
      <x:c r="O79" s="27" t="n">
        <x:f>J79*'Inputs'!$D$56+'Inputs'!$D$57</x:f>
        <x:v>12.574812</x:v>
      </x:c>
      <x:c r="P79" s="27" t="n">
        <x:f>SUM(L79:O79)</x:f>
        <x:v>188.7272014</x:v>
      </x:c>
      <x:c r="Q79" s="27" t="n">
        <x:f>J79-P79</x:f>
        <x:v>152.23979859999997</x:v>
      </x:c>
      <x:c r="R79" s="33" t="n">
        <x:f>Q79/J79</x:f>
        <x:v>0.44649423140655836</x:v>
      </x:c>
      <x:c r="S79" s="27" t="n">
        <x:f>0</x:f>
        <x:v>0</x:v>
      </x:c>
      <x:c r="T79" s="27" t="n">
        <x:f>J79+S79</x:f>
        <x:v>340.967</x:v>
      </x:c>
    </x:row>
    <x:row r="80" ht="22" customHeight="1">
      <x:c r="A80" s="1"/>
      <x:c r="B80" s="1"/>
      <x:c r="C80" s="1" t="str">
        <x:v>Seat + API at cost</x:v>
      </x:c>
      <x:c r="D80" s="1" t="str">
        <x:v>Typical</x:v>
      </x:c>
      <x:c r="E80" s="1" t="n">
        <x:v>20</x:v>
      </x:c>
      <x:c r="F80" s="27" t="n">
        <x:f>IF($H$9&gt;0,$H$9+MAX(0,E80-$I$9)*$J$9,MAX(E80,'Inputs'!$D$9)*$D$9)</x:f>
        <x:v>580</x:v>
      </x:c>
      <x:c r="G80" s="27" t="n">
        <x:f>E80*'Cost Build'!E9*(1-$G$9)*$F$9</x:f>
        <x:v>101.93399999999998</x:v>
      </x:c>
      <x:c r="H80" s="27" t="n">
        <x:f>IF($H$9&gt;0,20,MAX(E80,'Inputs'!$D$9)*$E$9)</x:f>
        <x:v>0</x:v>
      </x:c>
      <x:c r="I80" s="27" t="n">
        <x:f>MAX(0,G80-H80)+E80*'Cost Build'!E52</x:f>
        <x:v>101.93399999999998</x:v>
      </x:c>
      <x:c r="J80" s="27" t="n">
        <x:f>F80+I80</x:f>
        <x:v>681.934</x:v>
      </x:c>
      <x:c r="K80" s="27" t="n">
        <x:f>E80*('Cost Build'!E9*(1-$G$9)+'Cost Build'!E21+'Cost Build'!E33)</x:f>
        <x:v>266.64070799999996</x:v>
      </x:c>
      <x:c r="L80" s="27" t="n">
        <x:f>K80*(1+'Inputs'!$D$54)</x:f>
        <x:v>293.3047788</x:v>
      </x:c>
      <x:c r="M80" s="27" t="n">
        <x:f>E80*'Inputs'!$D$55</x:f>
        <x:v>30</x:v>
      </x:c>
      <x:c r="N80" s="27" t="n">
        <x:f>'Fleet'!$D$17</x:f>
        <x:v>14.5</x:v>
      </x:c>
      <x:c r="O80" s="27" t="n">
        <x:f>J80*'Inputs'!$D$56+'Inputs'!$D$57</x:f>
        <x:v>24.849624</x:v>
      </x:c>
      <x:c r="P80" s="27" t="n">
        <x:f>SUM(L80:O80)</x:f>
        <x:v>362.6544028</x:v>
      </x:c>
      <x:c r="Q80" s="27" t="n">
        <x:f>J80-P80</x:f>
        <x:v>319.27959719999996</x:v>
      </x:c>
      <x:c r="R80" s="33" t="n">
        <x:f>Q80/J80</x:f>
        <x:v>0.46819721146034654</x:v>
      </x:c>
      <x:c r="S80" s="27" t="n">
        <x:f>0</x:f>
        <x:v>0</x:v>
      </x:c>
      <x:c r="T80" s="27" t="n">
        <x:f>J80+S80</x:f>
        <x:v>681.934</x:v>
      </x:c>
    </x:row>
    <x:row r="81" ht="22" customHeight="1">
      <x:c r="A81" s="1"/>
      <x:c r="B81" s="1"/>
      <x:c r="C81" s="1" t="str">
        <x:v>Seat + API at cost</x:v>
      </x:c>
      <x:c r="D81" s="1" t="str">
        <x:v>Typical</x:v>
      </x:c>
      <x:c r="E81" s="1" t="n">
        <x:v>50</x:v>
      </x:c>
      <x:c r="F81" s="27" t="n">
        <x:f>IF($H$9&gt;0,$H$9+MAX(0,E81-$I$9)*$J$9,MAX(E81,'Inputs'!$D$9)*$D$9)</x:f>
        <x:v>1450</x:v>
      </x:c>
      <x:c r="G81" s="27" t="n">
        <x:f>E81*'Cost Build'!E9*(1-$G$9)*$F$9</x:f>
        <x:v>254.83499999999998</x:v>
      </x:c>
      <x:c r="H81" s="27" t="n">
        <x:f>IF($H$9&gt;0,20,MAX(E81,'Inputs'!$D$9)*$E$9)</x:f>
        <x:v>0</x:v>
      </x:c>
      <x:c r="I81" s="27" t="n">
        <x:f>MAX(0,G81-H81)+E81*'Cost Build'!E52</x:f>
        <x:v>254.83499999999998</x:v>
      </x:c>
      <x:c r="J81" s="27" t="n">
        <x:f>F81+I81</x:f>
        <x:v>1704.835</x:v>
      </x:c>
      <x:c r="K81" s="27" t="n">
        <x:f>E81*('Cost Build'!E9*(1-$G$9)+'Cost Build'!E21+'Cost Build'!E33)</x:f>
        <x:v>666.60177</x:v>
      </x:c>
      <x:c r="L81" s="27" t="n">
        <x:f>K81*(1+'Inputs'!$D$54)</x:f>
        <x:v>733.2619470000001</x:v>
      </x:c>
      <x:c r="M81" s="27" t="n">
        <x:f>E81*'Inputs'!$D$55</x:f>
        <x:v>75</x:v>
      </x:c>
      <x:c r="N81" s="27" t="n">
        <x:f>'Fleet'!$D$17</x:f>
        <x:v>14.5</x:v>
      </x:c>
      <x:c r="O81" s="27" t="n">
        <x:f>J81*'Inputs'!$D$56+'Inputs'!$D$57</x:f>
        <x:v>61.67406</x:v>
      </x:c>
      <x:c r="P81" s="27" t="n">
        <x:f>SUM(L81:O81)</x:f>
        <x:v>884.436007</x:v>
      </x:c>
      <x:c r="Q81" s="27" t="n">
        <x:f>J81-P81</x:f>
        <x:v>820.398993</x:v>
      </x:c>
      <x:c r="R81" s="33" t="n">
        <x:f>Q81/J81</x:f>
        <x:v>0.48121899949261954</x:v>
      </x:c>
      <x:c r="S81" s="27" t="n">
        <x:f>0</x:f>
        <x:v>0</x:v>
      </x:c>
      <x:c r="T81" s="27" t="n">
        <x:f>J81+S81</x:f>
        <x:v>1704.835</x:v>
      </x:c>
    </x:row>
    <x:row r="82" ht="22" customHeight="1">
      <x:c r="A82" s="1"/>
      <x:c r="B82" s="1"/>
      <x:c r="C82" s="1" t="str">
        <x:v>Seat + API at cost</x:v>
      </x:c>
      <x:c r="D82" s="1" t="str">
        <x:v>Typical</x:v>
      </x:c>
      <x:c r="E82" s="1" t="n">
        <x:v>100</x:v>
      </x:c>
      <x:c r="F82" s="27" t="n">
        <x:f>IF($H$9&gt;0,$H$9+MAX(0,E82-$I$9)*$J$9,MAX(E82,'Inputs'!$D$9)*$D$9)</x:f>
        <x:v>2900</x:v>
      </x:c>
      <x:c r="G82" s="27" t="n">
        <x:f>E82*'Cost Build'!E9*(1-$G$9)*$F$9</x:f>
        <x:v>509.66999999999996</x:v>
      </x:c>
      <x:c r="H82" s="27" t="n">
        <x:f>IF($H$9&gt;0,20,MAX(E82,'Inputs'!$D$9)*$E$9)</x:f>
        <x:v>0</x:v>
      </x:c>
      <x:c r="I82" s="27" t="n">
        <x:f>MAX(0,G82-H82)+E82*'Cost Build'!E52</x:f>
        <x:v>509.66999999999996</x:v>
      </x:c>
      <x:c r="J82" s="27" t="n">
        <x:f>F82+I82</x:f>
        <x:v>3409.67</x:v>
      </x:c>
      <x:c r="K82" s="27" t="n">
        <x:f>E82*('Cost Build'!E9*(1-$G$9)+'Cost Build'!E21+'Cost Build'!E33)</x:f>
        <x:v>1333.20354</x:v>
      </x:c>
      <x:c r="L82" s="27" t="n">
        <x:f>K82*(1+'Inputs'!$D$54)</x:f>
        <x:v>1466.5238940000002</x:v>
      </x:c>
      <x:c r="M82" s="27" t="n">
        <x:f>E82*'Inputs'!$D$55</x:f>
        <x:v>150</x:v>
      </x:c>
      <x:c r="N82" s="27" t="n">
        <x:f>'Fleet'!$D$17</x:f>
        <x:v>14.5</x:v>
      </x:c>
      <x:c r="O82" s="27" t="n">
        <x:f>J82*'Inputs'!$D$56+'Inputs'!$D$57</x:f>
        <x:v>123.04812</x:v>
      </x:c>
      <x:c r="P82" s="27" t="n">
        <x:f>SUM(L82:O82)</x:f>
        <x:v>1754.072014</x:v>
      </x:c>
      <x:c r="Q82" s="27" t="n">
        <x:f>J82-P82</x:f>
        <x:v>1655.597986</x:v>
      </x:c>
      <x:c r="R82" s="33" t="n">
        <x:f>Q82/J82</x:f>
        <x:v>0.48555959550337713</x:v>
      </x:c>
      <x:c r="S82" s="27" t="n">
        <x:f>0</x:f>
        <x:v>0</x:v>
      </x:c>
      <x:c r="T82" s="27" t="n">
        <x:f>J82+S82</x:f>
        <x:v>3409.67</x:v>
      </x:c>
    </x:row>
    <x:row r="83" ht="22" customHeight="1">
      <x:c r="A83" s="1"/>
      <x:c r="B83" s="1"/>
      <x:c r="C83" s="1" t="str">
        <x:v>Seat + API at cost</x:v>
      </x:c>
      <x:c r="D83" s="1" t="str">
        <x:v>Heavy</x:v>
      </x:c>
      <x:c r="E83" s="1" t="n">
        <x:v>3</x:v>
      </x:c>
      <x:c r="F83" s="27" t="n">
        <x:f>IF($H$9&gt;0,$H$9+MAX(0,E83-$I$9)*$J$9,MAX(E83,'Inputs'!$D$9)*$D$9)</x:f>
        <x:v>87</x:v>
      </x:c>
      <x:c r="G83" s="27" t="n">
        <x:f>E83*'Cost Build'!F9*(1-$G$9)*$F$9</x:f>
        <x:v>63.756</x:v>
      </x:c>
      <x:c r="H83" s="27" t="n">
        <x:f>IF($H$9&gt;0,20,MAX(E83,'Inputs'!$D$9)*$E$9)</x:f>
        <x:v>0</x:v>
      </x:c>
      <x:c r="I83" s="27" t="n">
        <x:f>MAX(0,G83-H83)+E83*'Cost Build'!F52</x:f>
        <x:v>95.022</x:v>
      </x:c>
      <x:c r="J83" s="27" t="n">
        <x:f>F83+I83</x:f>
        <x:v>182.022</x:v>
      </x:c>
      <x:c r="K83" s="27" t="n">
        <x:f>E83*('Cost Build'!F9*(1-$G$9)+'Cost Build'!F21+'Cost Build'!F33)</x:f>
        <x:v>151.407828</x:v>
      </x:c>
      <x:c r="L83" s="27" t="n">
        <x:f>K83*(1+'Inputs'!$D$54)</x:f>
        <x:v>166.5486108</x:v>
      </x:c>
      <x:c r="M83" s="27" t="n">
        <x:f>E83*'Inputs'!$D$55</x:f>
        <x:v>4.5</x:v>
      </x:c>
      <x:c r="N83" s="27" t="n">
        <x:f>'Fleet'!$D$17</x:f>
        <x:v>14.5</x:v>
      </x:c>
      <x:c r="O83" s="27" t="n">
        <x:f>J83*'Inputs'!$D$56+'Inputs'!$D$57</x:f>
        <x:v>6.852791999999999</x:v>
      </x:c>
      <x:c r="P83" s="27" t="n">
        <x:f>SUM(L83:O83)</x:f>
        <x:v>192.4014028</x:v>
      </x:c>
      <x:c r="Q83" s="27" t="n">
        <x:f>J83-P83</x:f>
        <x:v>-10.379402800000008</x:v>
      </x:c>
      <x:c r="R83" s="33" t="n">
        <x:f>Q83/J83</x:f>
        <x:v>-0.057022792849216075</x:v>
      </x:c>
      <x:c r="S83" s="27" t="n">
        <x:f>0</x:f>
        <x:v>0</x:v>
      </x:c>
      <x:c r="T83" s="27" t="n">
        <x:f>J83+S83</x:f>
        <x:v>182.022</x:v>
      </x:c>
    </x:row>
    <x:row r="84" ht="22" customHeight="1">
      <x:c r="A84" s="1"/>
      <x:c r="B84" s="1"/>
      <x:c r="C84" s="1" t="str">
        <x:v>Seat + API at cost</x:v>
      </x:c>
      <x:c r="D84" s="1" t="str">
        <x:v>Heavy</x:v>
      </x:c>
      <x:c r="E84" s="1" t="n">
        <x:v>5</x:v>
      </x:c>
      <x:c r="F84" s="27" t="n">
        <x:f>IF($H$9&gt;0,$H$9+MAX(0,E84-$I$9)*$J$9,MAX(E84,'Inputs'!$D$9)*$D$9)</x:f>
        <x:v>145</x:v>
      </x:c>
      <x:c r="G84" s="27" t="n">
        <x:f>E84*'Cost Build'!F9*(1-$G$9)*$F$9</x:f>
        <x:v>106.25999999999999</x:v>
      </x:c>
      <x:c r="H84" s="27" t="n">
        <x:f>IF($H$9&gt;0,20,MAX(E84,'Inputs'!$D$9)*$E$9)</x:f>
        <x:v>0</x:v>
      </x:c>
      <x:c r="I84" s="27" t="n">
        <x:f>MAX(0,G84-H84)+E84*'Cost Build'!F52</x:f>
        <x:v>158.37</x:v>
      </x:c>
      <x:c r="J84" s="27" t="n">
        <x:f>F84+I84</x:f>
        <x:v>303.37</x:v>
      </x:c>
      <x:c r="K84" s="27" t="n">
        <x:f>E84*('Cost Build'!F9*(1-$G$9)+'Cost Build'!F21+'Cost Build'!F33)</x:f>
        <x:v>252.34638</x:v>
      </x:c>
      <x:c r="L84" s="27" t="n">
        <x:f>K84*(1+'Inputs'!$D$54)</x:f>
        <x:v>277.58101800000003</x:v>
      </x:c>
      <x:c r="M84" s="27" t="n">
        <x:f>E84*'Inputs'!$D$55</x:f>
        <x:v>7.5</x:v>
      </x:c>
      <x:c r="N84" s="27" t="n">
        <x:f>'Fleet'!$D$17</x:f>
        <x:v>14.5</x:v>
      </x:c>
      <x:c r="O84" s="27" t="n">
        <x:f>J84*'Inputs'!$D$56+'Inputs'!$D$57</x:f>
        <x:v>11.22132</x:v>
      </x:c>
      <x:c r="P84" s="27" t="n">
        <x:f>SUM(L84:O84)</x:f>
        <x:v>310.802338</x:v>
      </x:c>
      <x:c r="Q84" s="27" t="n">
        <x:f>J84-P84</x:f>
        <x:v>-7.432338000000016</x:v>
      </x:c>
      <x:c r="R84" s="33" t="n">
        <x:f>Q84/J84</x:f>
        <x:v>-0.024499251738800857</x:v>
      </x:c>
      <x:c r="S84" s="27" t="n">
        <x:f>0</x:f>
        <x:v>0</x:v>
      </x:c>
      <x:c r="T84" s="27" t="n">
        <x:f>J84+S84</x:f>
        <x:v>303.37</x:v>
      </x:c>
    </x:row>
    <x:row r="85" ht="22" customHeight="1">
      <x:c r="A85" s="1"/>
      <x:c r="B85" s="1"/>
      <x:c r="C85" s="1" t="str">
        <x:v>Seat + API at cost</x:v>
      </x:c>
      <x:c r="D85" s="1" t="str">
        <x:v>Heavy</x:v>
      </x:c>
      <x:c r="E85" s="1" t="n">
        <x:v>10</x:v>
      </x:c>
      <x:c r="F85" s="27" t="n">
        <x:f>IF($H$9&gt;0,$H$9+MAX(0,E85-$I$9)*$J$9,MAX(E85,'Inputs'!$D$9)*$D$9)</x:f>
        <x:v>290</x:v>
      </x:c>
      <x:c r="G85" s="27" t="n">
        <x:f>E85*'Cost Build'!F9*(1-$G$9)*$F$9</x:f>
        <x:v>212.51999999999998</x:v>
      </x:c>
      <x:c r="H85" s="27" t="n">
        <x:f>IF($H$9&gt;0,20,MAX(E85,'Inputs'!$D$9)*$E$9)</x:f>
        <x:v>0</x:v>
      </x:c>
      <x:c r="I85" s="27" t="n">
        <x:f>MAX(0,G85-H85)+E85*'Cost Build'!F52</x:f>
        <x:v>316.74</x:v>
      </x:c>
      <x:c r="J85" s="27" t="n">
        <x:f>F85+I85</x:f>
        <x:v>606.74</x:v>
      </x:c>
      <x:c r="K85" s="27" t="n">
        <x:f>E85*('Cost Build'!F9*(1-$G$9)+'Cost Build'!F21+'Cost Build'!F33)</x:f>
        <x:v>504.69276</x:v>
      </x:c>
      <x:c r="L85" s="27" t="n">
        <x:f>K85*(1+'Inputs'!$D$54)</x:f>
        <x:v>555.1620360000001</x:v>
      </x:c>
      <x:c r="M85" s="27" t="n">
        <x:f>E85*'Inputs'!$D$55</x:f>
        <x:v>15</x:v>
      </x:c>
      <x:c r="N85" s="27" t="n">
        <x:f>'Fleet'!$D$17</x:f>
        <x:v>14.5</x:v>
      </x:c>
      <x:c r="O85" s="27" t="n">
        <x:f>J85*'Inputs'!$D$56+'Inputs'!$D$57</x:f>
        <x:v>22.14264</x:v>
      </x:c>
      <x:c r="P85" s="27" t="n">
        <x:f>SUM(L85:O85)</x:f>
        <x:v>606.8046760000001</x:v>
      </x:c>
      <x:c r="Q85" s="27" t="n">
        <x:f>J85-P85</x:f>
        <x:v>-0.06467600000007678</x:v>
      </x:c>
      <x:c r="R85" s="33" t="n">
        <x:f>Q85/J85</x:f>
        <x:v>-0.00010659590598951245</x:v>
      </x:c>
      <x:c r="S85" s="27" t="n">
        <x:f>0</x:f>
        <x:v>0</x:v>
      </x:c>
      <x:c r="T85" s="27" t="n">
        <x:f>J85+S85</x:f>
        <x:v>606.74</x:v>
      </x:c>
    </x:row>
    <x:row r="86" ht="22" customHeight="1">
      <x:c r="A86" s="1"/>
      <x:c r="B86" s="1"/>
      <x:c r="C86" s="1" t="str">
        <x:v>Seat + API at cost</x:v>
      </x:c>
      <x:c r="D86" s="1" t="str">
        <x:v>Heavy</x:v>
      </x:c>
      <x:c r="E86" s="1" t="n">
        <x:v>20</x:v>
      </x:c>
      <x:c r="F86" s="27" t="n">
        <x:f>IF($H$9&gt;0,$H$9+MAX(0,E86-$I$9)*$J$9,MAX(E86,'Inputs'!$D$9)*$D$9)</x:f>
        <x:v>580</x:v>
      </x:c>
      <x:c r="G86" s="27" t="n">
        <x:f>E86*'Cost Build'!F9*(1-$G$9)*$F$9</x:f>
        <x:v>425.03999999999996</x:v>
      </x:c>
      <x:c r="H86" s="27" t="n">
        <x:f>IF($H$9&gt;0,20,MAX(E86,'Inputs'!$D$9)*$E$9)</x:f>
        <x:v>0</x:v>
      </x:c>
      <x:c r="I86" s="27" t="n">
        <x:f>MAX(0,G86-H86)+E86*'Cost Build'!F52</x:f>
        <x:v>633.48</x:v>
      </x:c>
      <x:c r="J86" s="27" t="n">
        <x:f>F86+I86</x:f>
        <x:v>1213.48</x:v>
      </x:c>
      <x:c r="K86" s="27" t="n">
        <x:f>E86*('Cost Build'!F9*(1-$G$9)+'Cost Build'!F21+'Cost Build'!F33)</x:f>
        <x:v>1009.38552</x:v>
      </x:c>
      <x:c r="L86" s="27" t="n">
        <x:f>K86*(1+'Inputs'!$D$54)</x:f>
        <x:v>1110.3240720000001</x:v>
      </x:c>
      <x:c r="M86" s="27" t="n">
        <x:f>E86*'Inputs'!$D$55</x:f>
        <x:v>30</x:v>
      </x:c>
      <x:c r="N86" s="27" t="n">
        <x:f>'Fleet'!$D$17</x:f>
        <x:v>14.5</x:v>
      </x:c>
      <x:c r="O86" s="27" t="n">
        <x:f>J86*'Inputs'!$D$56+'Inputs'!$D$57</x:f>
        <x:v>43.985279999999996</x:v>
      </x:c>
      <x:c r="P86" s="27" t="n">
        <x:f>SUM(L86:O86)</x:f>
        <x:v>1198.8093520000002</x:v>
      </x:c>
      <x:c r="Q86" s="27" t="n">
        <x:f>J86-P86</x:f>
        <x:v>14.670647999999801</x:v>
      </x:c>
      <x:c r="R86" s="33" t="n">
        <x:f>Q86/J86</x:f>
        <x:v>0.01208973201041616</x:v>
      </x:c>
      <x:c r="S86" s="27" t="n">
        <x:f>0</x:f>
        <x:v>0</x:v>
      </x:c>
      <x:c r="T86" s="27" t="n">
        <x:f>J86+S86</x:f>
        <x:v>1213.48</x:v>
      </x:c>
    </x:row>
    <x:row r="87" ht="22" customHeight="1">
      <x:c r="A87" s="1"/>
      <x:c r="B87" s="1"/>
      <x:c r="C87" s="1" t="str">
        <x:v>Seat + API at cost</x:v>
      </x:c>
      <x:c r="D87" s="1" t="str">
        <x:v>Heavy</x:v>
      </x:c>
      <x:c r="E87" s="1" t="n">
        <x:v>50</x:v>
      </x:c>
      <x:c r="F87" s="27" t="n">
        <x:f>IF($H$9&gt;0,$H$9+MAX(0,E87-$I$9)*$J$9,MAX(E87,'Inputs'!$D$9)*$D$9)</x:f>
        <x:v>1450</x:v>
      </x:c>
      <x:c r="G87" s="27" t="n">
        <x:f>E87*'Cost Build'!F9*(1-$G$9)*$F$9</x:f>
        <x:v>1062.6</x:v>
      </x:c>
      <x:c r="H87" s="27" t="n">
        <x:f>IF($H$9&gt;0,20,MAX(E87,'Inputs'!$D$9)*$E$9)</x:f>
        <x:v>0</x:v>
      </x:c>
      <x:c r="I87" s="27" t="n">
        <x:f>MAX(0,G87-H87)+E87*'Cost Build'!F52</x:f>
        <x:v>1583.6999999999998</x:v>
      </x:c>
      <x:c r="J87" s="27" t="n">
        <x:f>F87+I87</x:f>
        <x:v>3033.7</x:v>
      </x:c>
      <x:c r="K87" s="27" t="n">
        <x:f>E87*('Cost Build'!F9*(1-$G$9)+'Cost Build'!F21+'Cost Build'!F33)</x:f>
        <x:v>2523.4638</x:v>
      </x:c>
      <x:c r="L87" s="27" t="n">
        <x:f>K87*(1+'Inputs'!$D$54)</x:f>
        <x:v>2775.8101800000004</x:v>
      </x:c>
      <x:c r="M87" s="27" t="n">
        <x:f>E87*'Inputs'!$D$55</x:f>
        <x:v>75</x:v>
      </x:c>
      <x:c r="N87" s="27" t="n">
        <x:f>'Fleet'!$D$17</x:f>
        <x:v>14.5</x:v>
      </x:c>
      <x:c r="O87" s="27" t="n">
        <x:f>J87*'Inputs'!$D$56+'Inputs'!$D$57</x:f>
        <x:v>109.51319999999998</x:v>
      </x:c>
      <x:c r="P87" s="27" t="n">
        <x:f>SUM(L87:O87)</x:f>
        <x:v>2974.8233800000003</x:v>
      </x:c>
      <x:c r="Q87" s="27" t="n">
        <x:f>J87-P87</x:f>
        <x:v>58.87661999999955</x:v>
      </x:c>
      <x:c r="R87" s="33" t="n">
        <x:f>Q87/J87</x:f>
        <x:v>0.019407528760259602</x:v>
      </x:c>
      <x:c r="S87" s="27" t="n">
        <x:f>0</x:f>
        <x:v>0</x:v>
      </x:c>
      <x:c r="T87" s="27" t="n">
        <x:f>J87+S87</x:f>
        <x:v>3033.7</x:v>
      </x:c>
    </x:row>
    <x:row r="88" ht="22" customHeight="1">
      <x:c r="A88" s="1"/>
      <x:c r="B88" s="1"/>
      <x:c r="C88" s="1" t="str">
        <x:v>Seat + API at cost</x:v>
      </x:c>
      <x:c r="D88" s="1" t="str">
        <x:v>Heavy</x:v>
      </x:c>
      <x:c r="E88" s="1" t="n">
        <x:v>100</x:v>
      </x:c>
      <x:c r="F88" s="27" t="n">
        <x:f>IF($H$9&gt;0,$H$9+MAX(0,E88-$I$9)*$J$9,MAX(E88,'Inputs'!$D$9)*$D$9)</x:f>
        <x:v>2900</x:v>
      </x:c>
      <x:c r="G88" s="27" t="n">
        <x:f>E88*'Cost Build'!F9*(1-$G$9)*$F$9</x:f>
        <x:v>2125.2</x:v>
      </x:c>
      <x:c r="H88" s="27" t="n">
        <x:f>IF($H$9&gt;0,20,MAX(E88,'Inputs'!$D$9)*$E$9)</x:f>
        <x:v>0</x:v>
      </x:c>
      <x:c r="I88" s="27" t="n">
        <x:f>MAX(0,G88-H88)+E88*'Cost Build'!F52</x:f>
        <x:v>3167.3999999999996</x:v>
      </x:c>
      <x:c r="J88" s="27" t="n">
        <x:f>F88+I88</x:f>
        <x:v>6067.4</x:v>
      </x:c>
      <x:c r="K88" s="27" t="n">
        <x:f>E88*('Cost Build'!F9*(1-$G$9)+'Cost Build'!F21+'Cost Build'!F33)</x:f>
        <x:v>5046.9276</x:v>
      </x:c>
      <x:c r="L88" s="27" t="n">
        <x:f>K88*(1+'Inputs'!$D$54)</x:f>
        <x:v>5551.620360000001</x:v>
      </x:c>
      <x:c r="M88" s="27" t="n">
        <x:f>E88*'Inputs'!$D$55</x:f>
        <x:v>150</x:v>
      </x:c>
      <x:c r="N88" s="27" t="n">
        <x:f>'Fleet'!$D$17</x:f>
        <x:v>14.5</x:v>
      </x:c>
      <x:c r="O88" s="27" t="n">
        <x:f>J88*'Inputs'!$D$56+'Inputs'!$D$57</x:f>
        <x:v>218.72639999999998</x:v>
      </x:c>
      <x:c r="P88" s="27" t="n">
        <x:f>SUM(L88:O88)</x:f>
        <x:v>5934.84676</x:v>
      </x:c>
      <x:c r="Q88" s="27" t="n">
        <x:f>J88-P88</x:f>
        <x:v>132.55323999999928</x:v>
      </x:c>
      <x:c r="R88" s="33" t="n">
        <x:f>Q88/J88</x:f>
        <x:v>0.02184679434354077</x:v>
      </x:c>
      <x:c r="S88" s="27" t="n">
        <x:f>0</x:f>
        <x:v>0</x:v>
      </x:c>
      <x:c r="T88" s="27" t="n">
        <x:f>J88+S88</x:f>
        <x:v>6067.4</x:v>
      </x:c>
    </x:row>
    <x:row r="89" ht="22" customHeight="1">
      <x:c r="A89" s="1"/>
      <x:c r="B89" s="1"/>
      <x:c r="C89" s="1" t="str">
        <x:v>Seat + API at 1.25x</x:v>
      </x:c>
      <x:c r="D89" s="1" t="str">
        <x:v>Light</x:v>
      </x:c>
      <x:c r="E89" s="1" t="n">
        <x:v>3</x:v>
      </x:c>
      <x:c r="F89" s="27" t="n">
        <x:f>IF($H$10&gt;0,$H$10+MAX(0,E89-$I$10)*$J$10,MAX(E89,'Inputs'!$D$9)*$D$10)</x:f>
        <x:v>87</x:v>
      </x:c>
      <x:c r="G89" s="27" t="n">
        <x:f>E89*'Cost Build'!D9*(1-$G$10)*$F$10</x:f>
        <x:v>5.977125000000001</x:v>
      </x:c>
      <x:c r="H89" s="27" t="n">
        <x:f>IF($H$10&gt;0,20,MAX(E89,'Inputs'!$D$9)*$E$10)</x:f>
        <x:v>0</x:v>
      </x:c>
      <x:c r="I89" s="27" t="n">
        <x:f>MAX(0,G89-H89)+E89*'Cost Build'!D52</x:f>
        <x:v>5.977125000000001</x:v>
      </x:c>
      <x:c r="J89" s="27" t="n">
        <x:f>F89+I89</x:f>
        <x:v>92.977125</x:v>
      </x:c>
      <x:c r="K89" s="27" t="n">
        <x:f>E89*('Cost Build'!D9*(1-$G$10)+'Cost Build'!D21+'Cost Build'!D33)</x:f>
        <x:v>12.409656239999999</x:v>
      </x:c>
      <x:c r="L89" s="27" t="n">
        <x:f>K89*(1+'Inputs'!$D$54)</x:f>
        <x:v>13.650621864</x:v>
      </x:c>
      <x:c r="M89" s="27" t="n">
        <x:f>E89*'Inputs'!$D$55</x:f>
        <x:v>4.5</x:v>
      </x:c>
      <x:c r="N89" s="27" t="n">
        <x:f>'Fleet'!$D$17</x:f>
        <x:v>14.5</x:v>
      </x:c>
      <x:c r="O89" s="27" t="n">
        <x:f>J89*'Inputs'!$D$56+'Inputs'!$D$57</x:f>
        <x:v>3.6471764999999996</x:v>
      </x:c>
      <x:c r="P89" s="27" t="n">
        <x:f>SUM(L89:O89)</x:f>
        <x:v>36.297798364</x:v>
      </x:c>
      <x:c r="Q89" s="27" t="n">
        <x:f>J89-P89</x:f>
        <x:v>56.679326636</x:v>
      </x:c>
      <x:c r="R89" s="33" t="n">
        <x:f>Q89/J89</x:f>
        <x:v>0.6096050683004018</x:v>
      </x:c>
      <x:c r="S89" s="27" t="n">
        <x:f>0</x:f>
        <x:v>0</x:v>
      </x:c>
      <x:c r="T89" s="27" t="n">
        <x:f>J89+S89</x:f>
        <x:v>92.977125</x:v>
      </x:c>
    </x:row>
    <x:row r="90" ht="22" customHeight="1">
      <x:c r="A90" s="1"/>
      <x:c r="B90" s="1"/>
      <x:c r="C90" s="1" t="str">
        <x:v>Seat + API at 1.25x</x:v>
      </x:c>
      <x:c r="D90" s="1" t="str">
        <x:v>Light</x:v>
      </x:c>
      <x:c r="E90" s="1" t="n">
        <x:v>5</x:v>
      </x:c>
      <x:c r="F90" s="27" t="n">
        <x:f>IF($H$10&gt;0,$H$10+MAX(0,E90-$I$10)*$J$10,MAX(E90,'Inputs'!$D$9)*$D$10)</x:f>
        <x:v>145</x:v>
      </x:c>
      <x:c r="G90" s="27" t="n">
        <x:f>E90*'Cost Build'!D9*(1-$G$10)*$F$10</x:f>
        <x:v>9.961875</x:v>
      </x:c>
      <x:c r="H90" s="27" t="n">
        <x:f>IF($H$10&gt;0,20,MAX(E90,'Inputs'!$D$9)*$E$10)</x:f>
        <x:v>0</x:v>
      </x:c>
      <x:c r="I90" s="27" t="n">
        <x:f>MAX(0,G90-H90)+E90*'Cost Build'!D52</x:f>
        <x:v>9.961875</x:v>
      </x:c>
      <x:c r="J90" s="27" t="n">
        <x:f>F90+I90</x:f>
        <x:v>154.961875</x:v>
      </x:c>
      <x:c r="K90" s="27" t="n">
        <x:f>E90*('Cost Build'!D9*(1-$G$10)+'Cost Build'!D21+'Cost Build'!D33)</x:f>
        <x:v>20.6827604</x:v>
      </x:c>
      <x:c r="L90" s="27" t="n">
        <x:f>K90*(1+'Inputs'!$D$54)</x:f>
        <x:v>22.75103644</x:v>
      </x:c>
      <x:c r="M90" s="27" t="n">
        <x:f>E90*'Inputs'!$D$55</x:f>
        <x:v>7.5</x:v>
      </x:c>
      <x:c r="N90" s="27" t="n">
        <x:f>'Fleet'!$D$17</x:f>
        <x:v>14.5</x:v>
      </x:c>
      <x:c r="O90" s="27" t="n">
        <x:f>J90*'Inputs'!$D$56+'Inputs'!$D$57</x:f>
        <x:v>5.8786274999999995</x:v>
      </x:c>
      <x:c r="P90" s="27" t="n">
        <x:f>SUM(L90:O90)</x:f>
        <x:v>50.62966394</x:v>
      </x:c>
      <x:c r="Q90" s="27" t="n">
        <x:f>J90-P90</x:f>
        <x:v>104.33221105999999</x:v>
      </x:c>
      <x:c r="R90" s="33" t="n">
        <x:f>Q90/J90</x:f>
        <x:v>0.6732766434324572</x:v>
      </x:c>
      <x:c r="S90" s="27" t="n">
        <x:f>0</x:f>
        <x:v>0</x:v>
      </x:c>
      <x:c r="T90" s="27" t="n">
        <x:f>J90+S90</x:f>
        <x:v>154.961875</x:v>
      </x:c>
    </x:row>
    <x:row r="91" ht="22" customHeight="1">
      <x:c r="A91" s="1"/>
      <x:c r="B91" s="1"/>
      <x:c r="C91" s="1" t="str">
        <x:v>Seat + API at 1.25x</x:v>
      </x:c>
      <x:c r="D91" s="1" t="str">
        <x:v>Light</x:v>
      </x:c>
      <x:c r="E91" s="1" t="n">
        <x:v>10</x:v>
      </x:c>
      <x:c r="F91" s="27" t="n">
        <x:f>IF($H$10&gt;0,$H$10+MAX(0,E91-$I$10)*$J$10,MAX(E91,'Inputs'!$D$9)*$D$10)</x:f>
        <x:v>290</x:v>
      </x:c>
      <x:c r="G91" s="27" t="n">
        <x:f>E91*'Cost Build'!D9*(1-$G$10)*$F$10</x:f>
        <x:v>19.92375</x:v>
      </x:c>
      <x:c r="H91" s="27" t="n">
        <x:f>IF($H$10&gt;0,20,MAX(E91,'Inputs'!$D$9)*$E$10)</x:f>
        <x:v>0</x:v>
      </x:c>
      <x:c r="I91" s="27" t="n">
        <x:f>MAX(0,G91-H91)+E91*'Cost Build'!D52</x:f>
        <x:v>19.92375</x:v>
      </x:c>
      <x:c r="J91" s="27" t="n">
        <x:f>F91+I91</x:f>
        <x:v>309.92375</x:v>
      </x:c>
      <x:c r="K91" s="27" t="n">
        <x:f>E91*('Cost Build'!D9*(1-$G$10)+'Cost Build'!D21+'Cost Build'!D33)</x:f>
        <x:v>41.3655208</x:v>
      </x:c>
      <x:c r="L91" s="27" t="n">
        <x:f>K91*(1+'Inputs'!$D$54)</x:f>
        <x:v>45.50207288</x:v>
      </x:c>
      <x:c r="M91" s="27" t="n">
        <x:f>E91*'Inputs'!$D$55</x:f>
        <x:v>15</x:v>
      </x:c>
      <x:c r="N91" s="27" t="n">
        <x:f>'Fleet'!$D$17</x:f>
        <x:v>14.5</x:v>
      </x:c>
      <x:c r="O91" s="27" t="n">
        <x:f>J91*'Inputs'!$D$56+'Inputs'!$D$57</x:f>
        <x:v>11.457255</x:v>
      </x:c>
      <x:c r="P91" s="27" t="n">
        <x:f>SUM(L91:O91)</x:f>
        <x:v>86.45932788</x:v>
      </x:c>
      <x:c r="Q91" s="27" t="n">
        <x:f>J91-P91</x:f>
        <x:v>223.46442212</x:v>
      </x:c>
      <x:c r="R91" s="33" t="n">
        <x:f>Q91/J91</x:f>
        <x:v>0.7210303247814986</x:v>
      </x:c>
      <x:c r="S91" s="27" t="n">
        <x:f>0</x:f>
        <x:v>0</x:v>
      </x:c>
      <x:c r="T91" s="27" t="n">
        <x:f>J91+S91</x:f>
        <x:v>309.92375</x:v>
      </x:c>
    </x:row>
    <x:row r="92" ht="22" customHeight="1">
      <x:c r="A92" s="1"/>
      <x:c r="B92" s="1"/>
      <x:c r="C92" s="1" t="str">
        <x:v>Seat + API at 1.25x</x:v>
      </x:c>
      <x:c r="D92" s="1" t="str">
        <x:v>Light</x:v>
      </x:c>
      <x:c r="E92" s="1" t="n">
        <x:v>20</x:v>
      </x:c>
      <x:c r="F92" s="27" t="n">
        <x:f>IF($H$10&gt;0,$H$10+MAX(0,E92-$I$10)*$J$10,MAX(E92,'Inputs'!$D$9)*$D$10)</x:f>
        <x:v>580</x:v>
      </x:c>
      <x:c r="G92" s="27" t="n">
        <x:f>E92*'Cost Build'!D9*(1-$G$10)*$F$10</x:f>
        <x:v>39.8475</x:v>
      </x:c>
      <x:c r="H92" s="27" t="n">
        <x:f>IF($H$10&gt;0,20,MAX(E92,'Inputs'!$D$9)*$E$10)</x:f>
        <x:v>0</x:v>
      </x:c>
      <x:c r="I92" s="27" t="n">
        <x:f>MAX(0,G92-H92)+E92*'Cost Build'!D52</x:f>
        <x:v>39.8475</x:v>
      </x:c>
      <x:c r="J92" s="27" t="n">
        <x:f>F92+I92</x:f>
        <x:v>619.8475</x:v>
      </x:c>
      <x:c r="K92" s="27" t="n">
        <x:f>E92*('Cost Build'!D9*(1-$G$10)+'Cost Build'!D21+'Cost Build'!D33)</x:f>
        <x:v>82.7310416</x:v>
      </x:c>
      <x:c r="L92" s="27" t="n">
        <x:f>K92*(1+'Inputs'!$D$54)</x:f>
        <x:v>91.00414576</x:v>
      </x:c>
      <x:c r="M92" s="27" t="n">
        <x:f>E92*'Inputs'!$D$55</x:f>
        <x:v>30</x:v>
      </x:c>
      <x:c r="N92" s="27" t="n">
        <x:f>'Fleet'!$D$17</x:f>
        <x:v>14.5</x:v>
      </x:c>
      <x:c r="O92" s="27" t="n">
        <x:f>J92*'Inputs'!$D$56+'Inputs'!$D$57</x:f>
        <x:v>22.61451</x:v>
      </x:c>
      <x:c r="P92" s="27" t="n">
        <x:f>SUM(L92:O92)</x:f>
        <x:v>158.11865576</x:v>
      </x:c>
      <x:c r="Q92" s="27" t="n">
        <x:f>J92-P92</x:f>
        <x:v>461.72884423999994</x:v>
      </x:c>
      <x:c r="R92" s="33" t="n">
        <x:f>Q92/J92</x:f>
        <x:v>0.7449071654560194</x:v>
      </x:c>
      <x:c r="S92" s="27" t="n">
        <x:f>0</x:f>
        <x:v>0</x:v>
      </x:c>
      <x:c r="T92" s="27" t="n">
        <x:f>J92+S92</x:f>
        <x:v>619.8475</x:v>
      </x:c>
    </x:row>
    <x:row r="93" ht="22" customHeight="1">
      <x:c r="A93" s="1"/>
      <x:c r="B93" s="1"/>
      <x:c r="C93" s="1" t="str">
        <x:v>Seat + API at 1.25x</x:v>
      </x:c>
      <x:c r="D93" s="1" t="str">
        <x:v>Light</x:v>
      </x:c>
      <x:c r="E93" s="1" t="n">
        <x:v>50</x:v>
      </x:c>
      <x:c r="F93" s="27" t="n">
        <x:f>IF($H$10&gt;0,$H$10+MAX(0,E93-$I$10)*$J$10,MAX(E93,'Inputs'!$D$9)*$D$10)</x:f>
        <x:v>1450</x:v>
      </x:c>
      <x:c r="G93" s="27" t="n">
        <x:f>E93*'Cost Build'!D9*(1-$G$10)*$F$10</x:f>
        <x:v>99.61875</x:v>
      </x:c>
      <x:c r="H93" s="27" t="n">
        <x:f>IF($H$10&gt;0,20,MAX(E93,'Inputs'!$D$9)*$E$10)</x:f>
        <x:v>0</x:v>
      </x:c>
      <x:c r="I93" s="27" t="n">
        <x:f>MAX(0,G93-H93)+E93*'Cost Build'!D52</x:f>
        <x:v>99.61875</x:v>
      </x:c>
      <x:c r="J93" s="27" t="n">
        <x:f>F93+I93</x:f>
        <x:v>1549.61875</x:v>
      </x:c>
      <x:c r="K93" s="27" t="n">
        <x:f>E93*('Cost Build'!D9*(1-$G$10)+'Cost Build'!D21+'Cost Build'!D33)</x:f>
        <x:v>206.82760399999998</x:v>
      </x:c>
      <x:c r="L93" s="27" t="n">
        <x:f>K93*(1+'Inputs'!$D$54)</x:f>
        <x:v>227.5103644</x:v>
      </x:c>
      <x:c r="M93" s="27" t="n">
        <x:f>E93*'Inputs'!$D$55</x:f>
        <x:v>75</x:v>
      </x:c>
      <x:c r="N93" s="27" t="n">
        <x:f>'Fleet'!$D$17</x:f>
        <x:v>14.5</x:v>
      </x:c>
      <x:c r="O93" s="27" t="n">
        <x:f>J93*'Inputs'!$D$56+'Inputs'!$D$57</x:f>
        <x:v>56.08627499999999</x:v>
      </x:c>
      <x:c r="P93" s="27" t="n">
        <x:f>SUM(L93:O93)</x:f>
        <x:v>373.09663939999996</x:v>
      </x:c>
      <x:c r="Q93" s="27" t="n">
        <x:f>J93-P93</x:f>
        <x:v>1176.5221106000001</x:v>
      </x:c>
      <x:c r="R93" s="33" t="n">
        <x:f>Q93/J93</x:f>
        <x:v>0.7592332698607319</x:v>
      </x:c>
      <x:c r="S93" s="27" t="n">
        <x:f>0</x:f>
        <x:v>0</x:v>
      </x:c>
      <x:c r="T93" s="27" t="n">
        <x:f>J93+S93</x:f>
        <x:v>1549.61875</x:v>
      </x:c>
    </x:row>
    <x:row r="94" ht="22" customHeight="1">
      <x:c r="A94" s="1"/>
      <x:c r="B94" s="1"/>
      <x:c r="C94" s="1" t="str">
        <x:v>Seat + API at 1.25x</x:v>
      </x:c>
      <x:c r="D94" s="1" t="str">
        <x:v>Light</x:v>
      </x:c>
      <x:c r="E94" s="1" t="n">
        <x:v>100</x:v>
      </x:c>
      <x:c r="F94" s="27" t="n">
        <x:f>IF($H$10&gt;0,$H$10+MAX(0,E94-$I$10)*$J$10,MAX(E94,'Inputs'!$D$9)*$D$10)</x:f>
        <x:v>2900</x:v>
      </x:c>
      <x:c r="G94" s="27" t="n">
        <x:f>E94*'Cost Build'!D9*(1-$G$10)*$F$10</x:f>
        <x:v>199.2375</x:v>
      </x:c>
      <x:c r="H94" s="27" t="n">
        <x:f>IF($H$10&gt;0,20,MAX(E94,'Inputs'!$D$9)*$E$10)</x:f>
        <x:v>0</x:v>
      </x:c>
      <x:c r="I94" s="27" t="n">
        <x:f>MAX(0,G94-H94)+E94*'Cost Build'!D52</x:f>
        <x:v>199.2375</x:v>
      </x:c>
      <x:c r="J94" s="27" t="n">
        <x:f>F94+I94</x:f>
        <x:v>3099.2375</x:v>
      </x:c>
      <x:c r="K94" s="27" t="n">
        <x:f>E94*('Cost Build'!D9*(1-$G$10)+'Cost Build'!D21+'Cost Build'!D33)</x:f>
        <x:v>413.65520799999996</x:v>
      </x:c>
      <x:c r="L94" s="27" t="n">
        <x:f>K94*(1+'Inputs'!$D$54)</x:f>
        <x:v>455.0207288</x:v>
      </x:c>
      <x:c r="M94" s="27" t="n">
        <x:f>E94*'Inputs'!$D$55</x:f>
        <x:v>150</x:v>
      </x:c>
      <x:c r="N94" s="27" t="n">
        <x:f>'Fleet'!$D$17</x:f>
        <x:v>14.5</x:v>
      </x:c>
      <x:c r="O94" s="27" t="n">
        <x:f>J94*'Inputs'!$D$56+'Inputs'!$D$57</x:f>
        <x:v>111.87254999999999</x:v>
      </x:c>
      <x:c r="P94" s="27" t="n">
        <x:f>SUM(L94:O94)</x:f>
        <x:v>731.3932788</x:v>
      </x:c>
      <x:c r="Q94" s="27" t="n">
        <x:f>J94-P94</x:f>
        <x:v>2367.8442212</x:v>
      </x:c>
      <x:c r="R94" s="33" t="n">
        <x:f>Q94/J94</x:f>
        <x:v>0.764008637995636</x:v>
      </x:c>
      <x:c r="S94" s="27" t="n">
        <x:f>0</x:f>
        <x:v>0</x:v>
      </x:c>
      <x:c r="T94" s="27" t="n">
        <x:f>J94+S94</x:f>
        <x:v>3099.2375</x:v>
      </x:c>
    </x:row>
    <x:row r="95" ht="22" customHeight="1">
      <x:c r="A95" s="1"/>
      <x:c r="B95" s="1"/>
      <x:c r="C95" s="1" t="str">
        <x:v>Seat + API at 1.25x</x:v>
      </x:c>
      <x:c r="D95" s="1" t="str">
        <x:v>Typical</x:v>
      </x:c>
      <x:c r="E95" s="1" t="n">
        <x:v>3</x:v>
      </x:c>
      <x:c r="F95" s="27" t="n">
        <x:f>IF($H$10&gt;0,$H$10+MAX(0,E95-$I$10)*$J$10,MAX(E95,'Inputs'!$D$9)*$D$10)</x:f>
        <x:v>87</x:v>
      </x:c>
      <x:c r="G95" s="27" t="n">
        <x:f>E95*'Cost Build'!E9*(1-$G$10)*$F$10</x:f>
        <x:v>19.112624999999998</x:v>
      </x:c>
      <x:c r="H95" s="27" t="n">
        <x:f>IF($H$10&gt;0,20,MAX(E95,'Inputs'!$D$9)*$E$10)</x:f>
        <x:v>0</x:v>
      </x:c>
      <x:c r="I95" s="27" t="n">
        <x:f>MAX(0,G95-H95)+E95*'Cost Build'!E52</x:f>
        <x:v>19.112624999999998</x:v>
      </x:c>
      <x:c r="J95" s="27" t="n">
        <x:f>F95+I95</x:f>
        <x:v>106.112625</x:v>
      </x:c>
      <x:c r="K95" s="27" t="n">
        <x:f>E95*('Cost Build'!E9*(1-$G$10)+'Cost Build'!E21+'Cost Build'!E33)</x:f>
        <x:v>39.9961062</x:v>
      </x:c>
      <x:c r="L95" s="27" t="n">
        <x:f>K95*(1+'Inputs'!$D$54)</x:f>
        <x:v>43.995716820000005</x:v>
      </x:c>
      <x:c r="M95" s="27" t="n">
        <x:f>E95*'Inputs'!$D$55</x:f>
        <x:v>4.5</x:v>
      </x:c>
      <x:c r="N95" s="27" t="n">
        <x:f>'Fleet'!$D$17</x:f>
        <x:v>14.5</x:v>
      </x:c>
      <x:c r="O95" s="27" t="n">
        <x:f>J95*'Inputs'!$D$56+'Inputs'!$D$57</x:f>
        <x:v>4.120054499999999</x:v>
      </x:c>
      <x:c r="P95" s="27" t="n">
        <x:f>SUM(L95:O95)</x:f>
        <x:v>67.11577132000001</x:v>
      </x:c>
      <x:c r="Q95" s="27" t="n">
        <x:f>J95-P95</x:f>
        <x:v>38.99685367999999</x:v>
      </x:c>
      <x:c r="R95" s="33" t="n">
        <x:f>Q95/J95</x:f>
        <x:v>0.3675043726418038</x:v>
      </x:c>
      <x:c r="S95" s="27" t="n">
        <x:f>0</x:f>
        <x:v>0</x:v>
      </x:c>
      <x:c r="T95" s="27" t="n">
        <x:f>J95+S95</x:f>
        <x:v>106.112625</x:v>
      </x:c>
    </x:row>
    <x:row r="96" ht="22" customHeight="1">
      <x:c r="A96" s="1"/>
      <x:c r="B96" s="1"/>
      <x:c r="C96" s="1" t="str">
        <x:v>Seat + API at 1.25x</x:v>
      </x:c>
      <x:c r="D96" s="1" t="str">
        <x:v>Typical</x:v>
      </x:c>
      <x:c r="E96" s="1" t="n">
        <x:v>5</x:v>
      </x:c>
      <x:c r="F96" s="27" t="n">
        <x:f>IF($H$10&gt;0,$H$10+MAX(0,E96-$I$10)*$J$10,MAX(E96,'Inputs'!$D$9)*$D$10)</x:f>
        <x:v>145</x:v>
      </x:c>
      <x:c r="G96" s="27" t="n">
        <x:f>E96*'Cost Build'!E9*(1-$G$10)*$F$10</x:f>
        <x:v>31.854374999999994</x:v>
      </x:c>
      <x:c r="H96" s="27" t="n">
        <x:f>IF($H$10&gt;0,20,MAX(E96,'Inputs'!$D$9)*$E$10)</x:f>
        <x:v>0</x:v>
      </x:c>
      <x:c r="I96" s="27" t="n">
        <x:f>MAX(0,G96-H96)+E96*'Cost Build'!E52</x:f>
        <x:v>31.854374999999994</x:v>
      </x:c>
      <x:c r="J96" s="27" t="n">
        <x:f>F96+I96</x:f>
        <x:v>176.854375</x:v>
      </x:c>
      <x:c r="K96" s="27" t="n">
        <x:f>E96*('Cost Build'!E9*(1-$G$10)+'Cost Build'!E21+'Cost Build'!E33)</x:f>
        <x:v>66.66017699999999</x:v>
      </x:c>
      <x:c r="L96" s="27" t="n">
        <x:f>K96*(1+'Inputs'!$D$54)</x:f>
        <x:v>73.3261947</x:v>
      </x:c>
      <x:c r="M96" s="27" t="n">
        <x:f>E96*'Inputs'!$D$55</x:f>
        <x:v>7.5</x:v>
      </x:c>
      <x:c r="N96" s="27" t="n">
        <x:f>'Fleet'!$D$17</x:f>
        <x:v>14.5</x:v>
      </x:c>
      <x:c r="O96" s="27" t="n">
        <x:f>J96*'Inputs'!$D$56+'Inputs'!$D$57</x:f>
        <x:v>6.666757499999999</x:v>
      </x:c>
      <x:c r="P96" s="27" t="n">
        <x:f>SUM(L96:O96)</x:f>
        <x:v>101.9929522</x:v>
      </x:c>
      <x:c r="Q96" s="27" t="n">
        <x:f>J96-P96</x:f>
        <x:v>74.8614228</x:v>
      </x:c>
      <x:c r="R96" s="33" t="n">
        <x:f>Q96/J96</x:f>
        <x:v>0.42329415260436726</x:v>
      </x:c>
      <x:c r="S96" s="27" t="n">
        <x:f>0</x:f>
        <x:v>0</x:v>
      </x:c>
      <x:c r="T96" s="27" t="n">
        <x:f>J96+S96</x:f>
        <x:v>176.854375</x:v>
      </x:c>
    </x:row>
    <x:row r="97" ht="22" customHeight="1">
      <x:c r="A97" s="1"/>
      <x:c r="B97" s="1"/>
      <x:c r="C97" s="1" t="str">
        <x:v>Seat + API at 1.25x</x:v>
      </x:c>
      <x:c r="D97" s="1" t="str">
        <x:v>Typical</x:v>
      </x:c>
      <x:c r="E97" s="1" t="n">
        <x:v>10</x:v>
      </x:c>
      <x:c r="F97" s="27" t="n">
        <x:f>IF($H$10&gt;0,$H$10+MAX(0,E97-$I$10)*$J$10,MAX(E97,'Inputs'!$D$9)*$D$10)</x:f>
        <x:v>290</x:v>
      </x:c>
      <x:c r="G97" s="27" t="n">
        <x:f>E97*'Cost Build'!E9*(1-$G$10)*$F$10</x:f>
        <x:v>63.70874999999999</x:v>
      </x:c>
      <x:c r="H97" s="27" t="n">
        <x:f>IF($H$10&gt;0,20,MAX(E97,'Inputs'!$D$9)*$E$10)</x:f>
        <x:v>0</x:v>
      </x:c>
      <x:c r="I97" s="27" t="n">
        <x:f>MAX(0,G97-H97)+E97*'Cost Build'!E52</x:f>
        <x:v>63.70874999999999</x:v>
      </x:c>
      <x:c r="J97" s="27" t="n">
        <x:f>F97+I97</x:f>
        <x:v>353.70875</x:v>
      </x:c>
      <x:c r="K97" s="27" t="n">
        <x:f>E97*('Cost Build'!E9*(1-$G$10)+'Cost Build'!E21+'Cost Build'!E33)</x:f>
        <x:v>133.32035399999998</x:v>
      </x:c>
      <x:c r="L97" s="27" t="n">
        <x:f>K97*(1+'Inputs'!$D$54)</x:f>
        <x:v>146.6523894</x:v>
      </x:c>
      <x:c r="M97" s="27" t="n">
        <x:f>E97*'Inputs'!$D$55</x:f>
        <x:v>15</x:v>
      </x:c>
      <x:c r="N97" s="27" t="n">
        <x:f>'Fleet'!$D$17</x:f>
        <x:v>14.5</x:v>
      </x:c>
      <x:c r="O97" s="27" t="n">
        <x:f>J97*'Inputs'!$D$56+'Inputs'!$D$57</x:f>
        <x:v>13.033515</x:v>
      </x:c>
      <x:c r="P97" s="27" t="n">
        <x:f>SUM(L97:O97)</x:f>
        <x:v>189.1859044</x:v>
      </x:c>
      <x:c r="Q97" s="27" t="n">
        <x:f>J97-P97</x:f>
        <x:v>164.5228456</x:v>
      </x:c>
      <x:c r="R97" s="33" t="n">
        <x:f>Q97/J97</x:f>
        <x:v>0.46513648757628984</x:v>
      </x:c>
      <x:c r="S97" s="27" t="n">
        <x:f>0</x:f>
        <x:v>0</x:v>
      </x:c>
      <x:c r="T97" s="27" t="n">
        <x:f>J97+S97</x:f>
        <x:v>353.70875</x:v>
      </x:c>
    </x:row>
    <x:row r="98" ht="22" customHeight="1">
      <x:c r="A98" s="1"/>
      <x:c r="B98" s="1"/>
      <x:c r="C98" s="1" t="str">
        <x:v>Seat + API at 1.25x</x:v>
      </x:c>
      <x:c r="D98" s="1" t="str">
        <x:v>Typical</x:v>
      </x:c>
      <x:c r="E98" s="1" t="n">
        <x:v>20</x:v>
      </x:c>
      <x:c r="F98" s="27" t="n">
        <x:f>IF($H$10&gt;0,$H$10+MAX(0,E98-$I$10)*$J$10,MAX(E98,'Inputs'!$D$9)*$D$10)</x:f>
        <x:v>580</x:v>
      </x:c>
      <x:c r="G98" s="27" t="n">
        <x:f>E98*'Cost Build'!E9*(1-$G$10)*$F$10</x:f>
        <x:v>127.41749999999998</x:v>
      </x:c>
      <x:c r="H98" s="27" t="n">
        <x:f>IF($H$10&gt;0,20,MAX(E98,'Inputs'!$D$9)*$E$10)</x:f>
        <x:v>0</x:v>
      </x:c>
      <x:c r="I98" s="27" t="n">
        <x:f>MAX(0,G98-H98)+E98*'Cost Build'!E52</x:f>
        <x:v>127.41749999999998</x:v>
      </x:c>
      <x:c r="J98" s="27" t="n">
        <x:f>F98+I98</x:f>
        <x:v>707.4175</x:v>
      </x:c>
      <x:c r="K98" s="27" t="n">
        <x:f>E98*('Cost Build'!E9*(1-$G$10)+'Cost Build'!E21+'Cost Build'!E33)</x:f>
        <x:v>266.64070799999996</x:v>
      </x:c>
      <x:c r="L98" s="27" t="n">
        <x:f>K98*(1+'Inputs'!$D$54)</x:f>
        <x:v>293.3047788</x:v>
      </x:c>
      <x:c r="M98" s="27" t="n">
        <x:f>E98*'Inputs'!$D$55</x:f>
        <x:v>30</x:v>
      </x:c>
      <x:c r="N98" s="27" t="n">
        <x:f>'Fleet'!$D$17</x:f>
        <x:v>14.5</x:v>
      </x:c>
      <x:c r="O98" s="27" t="n">
        <x:f>J98*'Inputs'!$D$56+'Inputs'!$D$57</x:f>
        <x:v>25.76703</x:v>
      </x:c>
      <x:c r="P98" s="27" t="n">
        <x:f>SUM(L98:O98)</x:f>
        <x:v>363.5718088</x:v>
      </x:c>
      <x:c r="Q98" s="27" t="n">
        <x:f>J98-P98</x:f>
        <x:v>343.84569120000003</x:v>
      </x:c>
      <x:c r="R98" s="33" t="n">
        <x:f>Q98/J98</x:f>
        <x:v>0.4860576550622511</x:v>
      </x:c>
      <x:c r="S98" s="27" t="n">
        <x:f>0</x:f>
        <x:v>0</x:v>
      </x:c>
      <x:c r="T98" s="27" t="n">
        <x:f>J98+S98</x:f>
        <x:v>707.4175</x:v>
      </x:c>
    </x:row>
    <x:row r="99" ht="22" customHeight="1">
      <x:c r="A99" s="1"/>
      <x:c r="B99" s="1"/>
      <x:c r="C99" s="1" t="str">
        <x:v>Seat + API at 1.25x</x:v>
      </x:c>
      <x:c r="D99" s="1" t="str">
        <x:v>Typical</x:v>
      </x:c>
      <x:c r="E99" s="1" t="n">
        <x:v>50</x:v>
      </x:c>
      <x:c r="F99" s="27" t="n">
        <x:f>IF($H$10&gt;0,$H$10+MAX(0,E99-$I$10)*$J$10,MAX(E99,'Inputs'!$D$9)*$D$10)</x:f>
        <x:v>1450</x:v>
      </x:c>
      <x:c r="G99" s="27" t="n">
        <x:f>E99*'Cost Build'!E9*(1-$G$10)*$F$10</x:f>
        <x:v>318.54375</x:v>
      </x:c>
      <x:c r="H99" s="27" t="n">
        <x:f>IF($H$10&gt;0,20,MAX(E99,'Inputs'!$D$9)*$E$10)</x:f>
        <x:v>0</x:v>
      </x:c>
      <x:c r="I99" s="27" t="n">
        <x:f>MAX(0,G99-H99)+E99*'Cost Build'!E52</x:f>
        <x:v>318.54375</x:v>
      </x:c>
      <x:c r="J99" s="27" t="n">
        <x:f>F99+I99</x:f>
        <x:v>1768.54375</x:v>
      </x:c>
      <x:c r="K99" s="27" t="n">
        <x:f>E99*('Cost Build'!E9*(1-$G$10)+'Cost Build'!E21+'Cost Build'!E33)</x:f>
        <x:v>666.60177</x:v>
      </x:c>
      <x:c r="L99" s="27" t="n">
        <x:f>K99*(1+'Inputs'!$D$54)</x:f>
        <x:v>733.2619470000001</x:v>
      </x:c>
      <x:c r="M99" s="27" t="n">
        <x:f>E99*'Inputs'!$D$55</x:f>
        <x:v>75</x:v>
      </x:c>
      <x:c r="N99" s="27" t="n">
        <x:f>'Fleet'!$D$17</x:f>
        <x:v>14.5</x:v>
      </x:c>
      <x:c r="O99" s="27" t="n">
        <x:f>J99*'Inputs'!$D$56+'Inputs'!$D$57</x:f>
        <x:v>63.967575</x:v>
      </x:c>
      <x:c r="P99" s="27" t="n">
        <x:f>SUM(L99:O99)</x:f>
        <x:v>886.7295220000001</x:v>
      </x:c>
      <x:c r="Q99" s="27" t="n">
        <x:f>J99-P99</x:f>
        <x:v>881.814228</x:v>
      </x:c>
      <x:c r="R99" s="33" t="n">
        <x:f>Q99/J99</x:f>
        <x:v>0.4986103555538278</x:v>
      </x:c>
      <x:c r="S99" s="27" t="n">
        <x:f>0</x:f>
        <x:v>0</x:v>
      </x:c>
      <x:c r="T99" s="27" t="n">
        <x:f>J99+S99</x:f>
        <x:v>1768.54375</x:v>
      </x:c>
    </x:row>
    <x:row r="100" ht="22" customHeight="1">
      <x:c r="A100" s="1"/>
      <x:c r="B100" s="1"/>
      <x:c r="C100" s="1" t="str">
        <x:v>Seat + API at 1.25x</x:v>
      </x:c>
      <x:c r="D100" s="1" t="str">
        <x:v>Typical</x:v>
      </x:c>
      <x:c r="E100" s="1" t="n">
        <x:v>100</x:v>
      </x:c>
      <x:c r="F100" s="27" t="n">
        <x:f>IF($H$10&gt;0,$H$10+MAX(0,E100-$I$10)*$J$10,MAX(E100,'Inputs'!$D$9)*$D$10)</x:f>
        <x:v>2900</x:v>
      </x:c>
      <x:c r="G100" s="27" t="n">
        <x:f>E100*'Cost Build'!E9*(1-$G$10)*$F$10</x:f>
        <x:v>637.0875</x:v>
      </x:c>
      <x:c r="H100" s="27" t="n">
        <x:f>IF($H$10&gt;0,20,MAX(E100,'Inputs'!$D$9)*$E$10)</x:f>
        <x:v>0</x:v>
      </x:c>
      <x:c r="I100" s="27" t="n">
        <x:f>MAX(0,G100-H100)+E100*'Cost Build'!E52</x:f>
        <x:v>637.0875</x:v>
      </x:c>
      <x:c r="J100" s="27" t="n">
        <x:f>F100+I100</x:f>
        <x:v>3537.0875</x:v>
      </x:c>
      <x:c r="K100" s="27" t="n">
        <x:f>E100*('Cost Build'!E9*(1-$G$10)+'Cost Build'!E21+'Cost Build'!E33)</x:f>
        <x:v>1333.20354</x:v>
      </x:c>
      <x:c r="L100" s="27" t="n">
        <x:f>K100*(1+'Inputs'!$D$54)</x:f>
        <x:v>1466.5238940000002</x:v>
      </x:c>
      <x:c r="M100" s="27" t="n">
        <x:f>E100*'Inputs'!$D$55</x:f>
        <x:v>150</x:v>
      </x:c>
      <x:c r="N100" s="27" t="n">
        <x:f>'Fleet'!$D$17</x:f>
        <x:v>14.5</x:v>
      </x:c>
      <x:c r="O100" s="27" t="n">
        <x:f>J100*'Inputs'!$D$56+'Inputs'!$D$57</x:f>
        <x:v>127.63515</x:v>
      </x:c>
      <x:c r="P100" s="27" t="n">
        <x:f>SUM(L100:O100)</x:f>
        <x:v>1758.6590440000002</x:v>
      </x:c>
      <x:c r="Q100" s="27" t="n">
        <x:f>J100-P100</x:f>
        <x:v>1778.4284559999999</x:v>
      </x:c>
      <x:c r="R100" s="33" t="n">
        <x:f>Q100/J100</x:f>
        <x:v>0.50279458905102</x:v>
      </x:c>
      <x:c r="S100" s="27" t="n">
        <x:f>0</x:f>
        <x:v>0</x:v>
      </x:c>
      <x:c r="T100" s="27" t="n">
        <x:f>J100+S100</x:f>
        <x:v>3537.0875</x:v>
      </x:c>
    </x:row>
    <x:row r="101" ht="22" customHeight="1">
      <x:c r="A101" s="1"/>
      <x:c r="B101" s="1"/>
      <x:c r="C101" s="1" t="str">
        <x:v>Seat + API at 1.25x</x:v>
      </x:c>
      <x:c r="D101" s="1" t="str">
        <x:v>Heavy</x:v>
      </x:c>
      <x:c r="E101" s="1" t="n">
        <x:v>3</x:v>
      </x:c>
      <x:c r="F101" s="27" t="n">
        <x:f>IF($H$10&gt;0,$H$10+MAX(0,E101-$I$10)*$J$10,MAX(E101,'Inputs'!$D$9)*$D$10)</x:f>
        <x:v>87</x:v>
      </x:c>
      <x:c r="G101" s="27" t="n">
        <x:f>E101*'Cost Build'!F9*(1-$G$10)*$F$10</x:f>
        <x:v>79.695</x:v>
      </x:c>
      <x:c r="H101" s="27" t="n">
        <x:f>IF($H$10&gt;0,20,MAX(E101,'Inputs'!$D$9)*$E$10)</x:f>
        <x:v>0</x:v>
      </x:c>
      <x:c r="I101" s="27" t="n">
        <x:f>MAX(0,G101-H101)+E101*'Cost Build'!F52</x:f>
        <x:v>110.961</x:v>
      </x:c>
      <x:c r="J101" s="27" t="n">
        <x:f>F101+I101</x:f>
        <x:v>197.961</x:v>
      </x:c>
      <x:c r="K101" s="27" t="n">
        <x:f>E101*('Cost Build'!F9*(1-$G$10)+'Cost Build'!F21+'Cost Build'!F33)</x:f>
        <x:v>151.407828</x:v>
      </x:c>
      <x:c r="L101" s="27" t="n">
        <x:f>K101*(1+'Inputs'!$D$54)</x:f>
        <x:v>166.5486108</x:v>
      </x:c>
      <x:c r="M101" s="27" t="n">
        <x:f>E101*'Inputs'!$D$55</x:f>
        <x:v>4.5</x:v>
      </x:c>
      <x:c r="N101" s="27" t="n">
        <x:f>'Fleet'!$D$17</x:f>
        <x:v>14.5</x:v>
      </x:c>
      <x:c r="O101" s="27" t="n">
        <x:f>J101*'Inputs'!$D$56+'Inputs'!$D$57</x:f>
        <x:v>7.426596</x:v>
      </x:c>
      <x:c r="P101" s="27" t="n">
        <x:f>SUM(L101:O101)</x:f>
        <x:v>192.9752068</x:v>
      </x:c>
      <x:c r="Q101" s="27" t="n">
        <x:f>J101-P101</x:f>
        <x:v>4.985793200000018</x:v>
      </x:c>
      <x:c r="R101" s="33" t="n">
        <x:f>Q101/J101</x:f>
        <x:v>0.02518573456387883</x:v>
      </x:c>
      <x:c r="S101" s="27" t="n">
        <x:f>0</x:f>
        <x:v>0</x:v>
      </x:c>
      <x:c r="T101" s="27" t="n">
        <x:f>J101+S101</x:f>
        <x:v>197.961</x:v>
      </x:c>
    </x:row>
    <x:row r="102" ht="22" customHeight="1">
      <x:c r="A102" s="1"/>
      <x:c r="B102" s="1"/>
      <x:c r="C102" s="1" t="str">
        <x:v>Seat + API at 1.25x</x:v>
      </x:c>
      <x:c r="D102" s="1" t="str">
        <x:v>Heavy</x:v>
      </x:c>
      <x:c r="E102" s="1" t="n">
        <x:v>5</x:v>
      </x:c>
      <x:c r="F102" s="27" t="n">
        <x:f>IF($H$10&gt;0,$H$10+MAX(0,E102-$I$10)*$J$10,MAX(E102,'Inputs'!$D$9)*$D$10)</x:f>
        <x:v>145</x:v>
      </x:c>
      <x:c r="G102" s="27" t="n">
        <x:f>E102*'Cost Build'!F9*(1-$G$10)*$F$10</x:f>
        <x:v>132.825</x:v>
      </x:c>
      <x:c r="H102" s="27" t="n">
        <x:f>IF($H$10&gt;0,20,MAX(E102,'Inputs'!$D$9)*$E$10)</x:f>
        <x:v>0</x:v>
      </x:c>
      <x:c r="I102" s="27" t="n">
        <x:f>MAX(0,G102-H102)+E102*'Cost Build'!F52</x:f>
        <x:v>184.935</x:v>
      </x:c>
      <x:c r="J102" s="27" t="n">
        <x:f>F102+I102</x:f>
        <x:v>329.935</x:v>
      </x:c>
      <x:c r="K102" s="27" t="n">
        <x:f>E102*('Cost Build'!F9*(1-$G$10)+'Cost Build'!F21+'Cost Build'!F33)</x:f>
        <x:v>252.34638</x:v>
      </x:c>
      <x:c r="L102" s="27" t="n">
        <x:f>K102*(1+'Inputs'!$D$54)</x:f>
        <x:v>277.58101800000003</x:v>
      </x:c>
      <x:c r="M102" s="27" t="n">
        <x:f>E102*'Inputs'!$D$55</x:f>
        <x:v>7.5</x:v>
      </x:c>
      <x:c r="N102" s="27" t="n">
        <x:f>'Fleet'!$D$17</x:f>
        <x:v>14.5</x:v>
      </x:c>
      <x:c r="O102" s="27" t="n">
        <x:f>J102*'Inputs'!$D$56+'Inputs'!$D$57</x:f>
        <x:v>12.17766</x:v>
      </x:c>
      <x:c r="P102" s="27" t="n">
        <x:f>SUM(L102:O102)</x:f>
        <x:v>311.75867800000003</x:v>
      </x:c>
      <x:c r="Q102" s="27" t="n">
        <x:f>J102-P102</x:f>
        <x:v>18.17632199999997</x:v>
      </x:c>
      <x:c r="R102" s="33" t="n">
        <x:f>Q102/J102</x:f>
        <x:v>0.055090614818070135</x:v>
      </x:c>
      <x:c r="S102" s="27" t="n">
        <x:f>0</x:f>
        <x:v>0</x:v>
      </x:c>
      <x:c r="T102" s="27" t="n">
        <x:f>J102+S102</x:f>
        <x:v>329.935</x:v>
      </x:c>
    </x:row>
    <x:row r="103" ht="22" customHeight="1">
      <x:c r="A103" s="1"/>
      <x:c r="B103" s="1"/>
      <x:c r="C103" s="1" t="str">
        <x:v>Seat + API at 1.25x</x:v>
      </x:c>
      <x:c r="D103" s="1" t="str">
        <x:v>Heavy</x:v>
      </x:c>
      <x:c r="E103" s="1" t="n">
        <x:v>10</x:v>
      </x:c>
      <x:c r="F103" s="27" t="n">
        <x:f>IF($H$10&gt;0,$H$10+MAX(0,E103-$I$10)*$J$10,MAX(E103,'Inputs'!$D$9)*$D$10)</x:f>
        <x:v>290</x:v>
      </x:c>
      <x:c r="G103" s="27" t="n">
        <x:f>E103*'Cost Build'!F9*(1-$G$10)*$F$10</x:f>
        <x:v>265.65</x:v>
      </x:c>
      <x:c r="H103" s="27" t="n">
        <x:f>IF($H$10&gt;0,20,MAX(E103,'Inputs'!$D$9)*$E$10)</x:f>
        <x:v>0</x:v>
      </x:c>
      <x:c r="I103" s="27" t="n">
        <x:f>MAX(0,G103-H103)+E103*'Cost Build'!F52</x:f>
        <x:v>369.87</x:v>
      </x:c>
      <x:c r="J103" s="27" t="n">
        <x:f>F103+I103</x:f>
        <x:v>659.87</x:v>
      </x:c>
      <x:c r="K103" s="27" t="n">
        <x:f>E103*('Cost Build'!F9*(1-$G$10)+'Cost Build'!F21+'Cost Build'!F33)</x:f>
        <x:v>504.69276</x:v>
      </x:c>
      <x:c r="L103" s="27" t="n">
        <x:f>K103*(1+'Inputs'!$D$54)</x:f>
        <x:v>555.1620360000001</x:v>
      </x:c>
      <x:c r="M103" s="27" t="n">
        <x:f>E103*'Inputs'!$D$55</x:f>
        <x:v>15</x:v>
      </x:c>
      <x:c r="N103" s="27" t="n">
        <x:f>'Fleet'!$D$17</x:f>
        <x:v>14.5</x:v>
      </x:c>
      <x:c r="O103" s="27" t="n">
        <x:f>J103*'Inputs'!$D$56+'Inputs'!$D$57</x:f>
        <x:v>24.05532</x:v>
      </x:c>
      <x:c r="P103" s="27" t="n">
        <x:f>SUM(L103:O103)</x:f>
        <x:v>608.7173560000001</x:v>
      </x:c>
      <x:c r="Q103" s="27" t="n">
        <x:f>J103-P103</x:f>
        <x:v>51.152643999999896</x:v>
      </x:c>
      <x:c r="R103" s="33" t="n">
        <x:f>Q103/J103</x:f>
        <x:v>0.07751927500871368</x:v>
      </x:c>
      <x:c r="S103" s="27" t="n">
        <x:f>0</x:f>
        <x:v>0</x:v>
      </x:c>
      <x:c r="T103" s="27" t="n">
        <x:f>J103+S103</x:f>
        <x:v>659.87</x:v>
      </x:c>
    </x:row>
    <x:row r="104" ht="22" customHeight="1">
      <x:c r="A104" s="1"/>
      <x:c r="B104" s="1"/>
      <x:c r="C104" s="1" t="str">
        <x:v>Seat + API at 1.25x</x:v>
      </x:c>
      <x:c r="D104" s="1" t="str">
        <x:v>Heavy</x:v>
      </x:c>
      <x:c r="E104" s="1" t="n">
        <x:v>20</x:v>
      </x:c>
      <x:c r="F104" s="27" t="n">
        <x:f>IF($H$10&gt;0,$H$10+MAX(0,E104-$I$10)*$J$10,MAX(E104,'Inputs'!$D$9)*$D$10)</x:f>
        <x:v>580</x:v>
      </x:c>
      <x:c r="G104" s="27" t="n">
        <x:f>E104*'Cost Build'!F9*(1-$G$10)*$F$10</x:f>
        <x:v>531.3</x:v>
      </x:c>
      <x:c r="H104" s="27" t="n">
        <x:f>IF($H$10&gt;0,20,MAX(E104,'Inputs'!$D$9)*$E$10)</x:f>
        <x:v>0</x:v>
      </x:c>
      <x:c r="I104" s="27" t="n">
        <x:f>MAX(0,G104-H104)+E104*'Cost Build'!F52</x:f>
        <x:v>739.74</x:v>
      </x:c>
      <x:c r="J104" s="27" t="n">
        <x:f>F104+I104</x:f>
        <x:v>1319.74</x:v>
      </x:c>
      <x:c r="K104" s="27" t="n">
        <x:f>E104*('Cost Build'!F9*(1-$G$10)+'Cost Build'!F21+'Cost Build'!F33)</x:f>
        <x:v>1009.38552</x:v>
      </x:c>
      <x:c r="L104" s="27" t="n">
        <x:f>K104*(1+'Inputs'!$D$54)</x:f>
        <x:v>1110.3240720000001</x:v>
      </x:c>
      <x:c r="M104" s="27" t="n">
        <x:f>E104*'Inputs'!$D$55</x:f>
        <x:v>30</x:v>
      </x:c>
      <x:c r="N104" s="27" t="n">
        <x:f>'Fleet'!$D$17</x:f>
        <x:v>14.5</x:v>
      </x:c>
      <x:c r="O104" s="27" t="n">
        <x:f>J104*'Inputs'!$D$56+'Inputs'!$D$57</x:f>
        <x:v>47.81063999999999</x:v>
      </x:c>
      <x:c r="P104" s="27" t="n">
        <x:f>SUM(L104:O104)</x:f>
        <x:v>1202.634712</x:v>
      </x:c>
      <x:c r="Q104" s="27" t="n">
        <x:f>J104-P104</x:f>
        <x:v>117.10528799999997</x:v>
      </x:c>
      <x:c r="R104" s="33" t="n">
        <x:f>Q104/J104</x:f>
        <x:v>0.08873360510403562</x:v>
      </x:c>
      <x:c r="S104" s="27" t="n">
        <x:f>0</x:f>
        <x:v>0</x:v>
      </x:c>
      <x:c r="T104" s="27" t="n">
        <x:f>J104+S104</x:f>
        <x:v>1319.74</x:v>
      </x:c>
    </x:row>
    <x:row r="105" ht="22" customHeight="1">
      <x:c r="A105" s="1"/>
      <x:c r="B105" s="1"/>
      <x:c r="C105" s="1" t="str">
        <x:v>Seat + API at 1.25x</x:v>
      </x:c>
      <x:c r="D105" s="1" t="str">
        <x:v>Heavy</x:v>
      </x:c>
      <x:c r="E105" s="1" t="n">
        <x:v>50</x:v>
      </x:c>
      <x:c r="F105" s="27" t="n">
        <x:f>IF($H$10&gt;0,$H$10+MAX(0,E105-$I$10)*$J$10,MAX(E105,'Inputs'!$D$9)*$D$10)</x:f>
        <x:v>1450</x:v>
      </x:c>
      <x:c r="G105" s="27" t="n">
        <x:f>E105*'Cost Build'!F9*(1-$G$10)*$F$10</x:f>
        <x:v>1328.25</x:v>
      </x:c>
      <x:c r="H105" s="27" t="n">
        <x:f>IF($H$10&gt;0,20,MAX(E105,'Inputs'!$D$9)*$E$10)</x:f>
        <x:v>0</x:v>
      </x:c>
      <x:c r="I105" s="27" t="n">
        <x:f>MAX(0,G105-H105)+E105*'Cost Build'!F52</x:f>
        <x:v>1849.35</x:v>
      </x:c>
      <x:c r="J105" s="27" t="n">
        <x:f>F105+I105</x:f>
        <x:v>3299.35</x:v>
      </x:c>
      <x:c r="K105" s="27" t="n">
        <x:f>E105*('Cost Build'!F9*(1-$G$10)+'Cost Build'!F21+'Cost Build'!F33)</x:f>
        <x:v>2523.4638</x:v>
      </x:c>
      <x:c r="L105" s="27" t="n">
        <x:f>K105*(1+'Inputs'!$D$54)</x:f>
        <x:v>2775.8101800000004</x:v>
      </x:c>
      <x:c r="M105" s="27" t="n">
        <x:f>E105*'Inputs'!$D$55</x:f>
        <x:v>75</x:v>
      </x:c>
      <x:c r="N105" s="27" t="n">
        <x:f>'Fleet'!$D$17</x:f>
        <x:v>14.5</x:v>
      </x:c>
      <x:c r="O105" s="27" t="n">
        <x:f>J105*'Inputs'!$D$56+'Inputs'!$D$57</x:f>
        <x:v>119.07659999999998</x:v>
      </x:c>
      <x:c r="P105" s="27" t="n">
        <x:f>SUM(L105:O105)</x:f>
        <x:v>2984.3867800000003</x:v>
      </x:c>
      <x:c r="Q105" s="27" t="n">
        <x:f>J105-P105</x:f>
        <x:v>314.96321999999964</x:v>
      </x:c>
      <x:c r="R105" s="33" t="n">
        <x:f>Q105/J105</x:f>
        <x:v>0.09546220316122862</x:v>
      </x:c>
      <x:c r="S105" s="27" t="n">
        <x:f>0</x:f>
        <x:v>0</x:v>
      </x:c>
      <x:c r="T105" s="27" t="n">
        <x:f>J105+S105</x:f>
        <x:v>3299.35</x:v>
      </x:c>
    </x:row>
    <x:row r="106" ht="22" customHeight="1">
      <x:c r="A106" s="1"/>
      <x:c r="B106" s="1"/>
      <x:c r="C106" s="1" t="str">
        <x:v>Seat + API at 1.25x</x:v>
      </x:c>
      <x:c r="D106" s="1" t="str">
        <x:v>Heavy</x:v>
      </x:c>
      <x:c r="E106" s="1" t="n">
        <x:v>100</x:v>
      </x:c>
      <x:c r="F106" s="27" t="n">
        <x:f>IF($H$10&gt;0,$H$10+MAX(0,E106-$I$10)*$J$10,MAX(E106,'Inputs'!$D$9)*$D$10)</x:f>
        <x:v>2900</x:v>
      </x:c>
      <x:c r="G106" s="27" t="n">
        <x:f>E106*'Cost Build'!F9*(1-$G$10)*$F$10</x:f>
        <x:v>2656.5</x:v>
      </x:c>
      <x:c r="H106" s="27" t="n">
        <x:f>IF($H$10&gt;0,20,MAX(E106,'Inputs'!$D$9)*$E$10)</x:f>
        <x:v>0</x:v>
      </x:c>
      <x:c r="I106" s="27" t="n">
        <x:f>MAX(0,G106-H106)+E106*'Cost Build'!F52</x:f>
        <x:v>3698.7</x:v>
      </x:c>
      <x:c r="J106" s="27" t="n">
        <x:f>F106+I106</x:f>
        <x:v>6598.7</x:v>
      </x:c>
      <x:c r="K106" s="27" t="n">
        <x:f>E106*('Cost Build'!F9*(1-$G$10)+'Cost Build'!F21+'Cost Build'!F33)</x:f>
        <x:v>5046.9276</x:v>
      </x:c>
      <x:c r="L106" s="27" t="n">
        <x:f>K106*(1+'Inputs'!$D$54)</x:f>
        <x:v>5551.620360000001</x:v>
      </x:c>
      <x:c r="M106" s="27" t="n">
        <x:f>E106*'Inputs'!$D$55</x:f>
        <x:v>150</x:v>
      </x:c>
      <x:c r="N106" s="27" t="n">
        <x:f>'Fleet'!$D$17</x:f>
        <x:v>14.5</x:v>
      </x:c>
      <x:c r="O106" s="27" t="n">
        <x:f>J106*'Inputs'!$D$56+'Inputs'!$D$57</x:f>
        <x:v>237.8532</x:v>
      </x:c>
      <x:c r="P106" s="27" t="n">
        <x:f>SUM(L106:O106)</x:f>
        <x:v>5953.97356</x:v>
      </x:c>
      <x:c r="Q106" s="27" t="n">
        <x:f>J106-P106</x:f>
        <x:v>644.7264399999995</x:v>
      </x:c>
      <x:c r="R106" s="33" t="n">
        <x:f>Q106/J106</x:f>
        <x:v>0.09770506918029301</x:v>
      </x:c>
      <x:c r="S106" s="27" t="n">
        <x:f>0</x:f>
        <x:v>0</x:v>
      </x:c>
      <x:c r="T106" s="27" t="n">
        <x:f>J106+S106</x:f>
        <x:v>6598.7</x:v>
      </x:c>
    </x:row>
    <x:row r="107" ht="22" customHeight="1">
      <x:c r="A107" s="1"/>
      <x:c r="B107" s="1"/>
      <x:c r="C107" s="1" t="str">
        <x:v>BYO API key</x:v>
      </x:c>
      <x:c r="D107" s="1" t="str">
        <x:v>Light</x:v>
      </x:c>
      <x:c r="E107" s="1" t="n">
        <x:v>3</x:v>
      </x:c>
      <x:c r="F107" s="27" t="n">
        <x:f>IF($H$11&gt;0,$H$11+MAX(0,E107-$I$11)*$J$11,MAX(E107,'Inputs'!$D$9)*$D$11)</x:f>
        <x:v>87</x:v>
      </x:c>
      <x:c r="G107" s="27" t="n">
        <x:f>E107*'Cost Build'!D9*(1-$G$11)*$F$11</x:f>
        <x:v>0</x:v>
      </x:c>
      <x:c r="H107" s="27" t="n">
        <x:f>IF($H$11&gt;0,20,MAX(E107,'Inputs'!$D$9)*$E$11)</x:f>
        <x:v>30</x:v>
      </x:c>
      <x:c r="I107" s="27" t="n">
        <x:f>MAX(0,G107-H107)+E107*'Cost Build'!D52</x:f>
        <x:v>0</x:v>
      </x:c>
      <x:c r="J107" s="27" t="n">
        <x:f>F107+I107</x:f>
        <x:v>87</x:v>
      </x:c>
      <x:c r="K107" s="27" t="n">
        <x:f>E107*('Cost Build'!D9*(1-$G$11)+'Cost Build'!D21+'Cost Build'!D33)</x:f>
        <x:v>7.62795624</x:v>
      </x:c>
      <x:c r="L107" s="27" t="n">
        <x:f>K107*(1+'Inputs'!$D$54)</x:f>
        <x:v>8.390751864</x:v>
      </x:c>
      <x:c r="M107" s="27" t="n">
        <x:f>E107*'Inputs'!$D$55</x:f>
        <x:v>4.5</x:v>
      </x:c>
      <x:c r="N107" s="27" t="n">
        <x:f>'Fleet'!$D$17</x:f>
        <x:v>14.5</x:v>
      </x:c>
      <x:c r="O107" s="27" t="n">
        <x:f>J107*'Inputs'!$D$56+'Inputs'!$D$57</x:f>
        <x:v>3.4319999999999995</x:v>
      </x:c>
      <x:c r="P107" s="27" t="n">
        <x:f>SUM(L107:O107)</x:f>
        <x:v>30.822751864</x:v>
      </x:c>
      <x:c r="Q107" s="27" t="n">
        <x:f>J107-P107</x:f>
        <x:v>56.177248136</x:v>
      </x:c>
      <x:c r="R107" s="33" t="n">
        <x:f>Q107/J107</x:f>
        <x:v>0.645715495816092</x:v>
      </x:c>
      <x:c r="S107" s="27" t="n">
        <x:f>E107*'Cost Build'!D9*$G$11</x:f>
        <x:v>4.781700000000001</x:v>
      </x:c>
      <x:c r="T107" s="27" t="n">
        <x:f>J107+S107</x:f>
        <x:v>91.7817</x:v>
      </x:c>
    </x:row>
    <x:row r="108" ht="22" customHeight="1">
      <x:c r="A108" s="1"/>
      <x:c r="B108" s="1"/>
      <x:c r="C108" s="1" t="str">
        <x:v>BYO API key</x:v>
      </x:c>
      <x:c r="D108" s="1" t="str">
        <x:v>Light</x:v>
      </x:c>
      <x:c r="E108" s="1" t="n">
        <x:v>5</x:v>
      </x:c>
      <x:c r="F108" s="27" t="n">
        <x:f>IF($H$11&gt;0,$H$11+MAX(0,E108-$I$11)*$J$11,MAX(E108,'Inputs'!$D$9)*$D$11)</x:f>
        <x:v>145</x:v>
      </x:c>
      <x:c r="G108" s="27" t="n">
        <x:f>E108*'Cost Build'!D9*(1-$G$11)*$F$11</x:f>
        <x:v>0</x:v>
      </x:c>
      <x:c r="H108" s="27" t="n">
        <x:f>IF($H$11&gt;0,20,MAX(E108,'Inputs'!$D$9)*$E$11)</x:f>
        <x:v>50</x:v>
      </x:c>
      <x:c r="I108" s="27" t="n">
        <x:f>MAX(0,G108-H108)+E108*'Cost Build'!D52</x:f>
        <x:v>0</x:v>
      </x:c>
      <x:c r="J108" s="27" t="n">
        <x:f>F108+I108</x:f>
        <x:v>145</x:v>
      </x:c>
      <x:c r="K108" s="27" t="n">
        <x:f>E108*('Cost Build'!D9*(1-$G$11)+'Cost Build'!D21+'Cost Build'!D33)</x:f>
        <x:v>12.7132604</x:v>
      </x:c>
      <x:c r="L108" s="27" t="n">
        <x:f>K108*(1+'Inputs'!$D$54)</x:f>
        <x:v>13.984586440000001</x:v>
      </x:c>
      <x:c r="M108" s="27" t="n">
        <x:f>E108*'Inputs'!$D$55</x:f>
        <x:v>7.5</x:v>
      </x:c>
      <x:c r="N108" s="27" t="n">
        <x:f>'Fleet'!$D$17</x:f>
        <x:v>14.5</x:v>
      </x:c>
      <x:c r="O108" s="27" t="n">
        <x:f>J108*'Inputs'!$D$56+'Inputs'!$D$57</x:f>
        <x:v>5.52</x:v>
      </x:c>
      <x:c r="P108" s="27" t="n">
        <x:f>SUM(L108:O108)</x:f>
        <x:v>41.50458644</x:v>
      </x:c>
      <x:c r="Q108" s="27" t="n">
        <x:f>J108-P108</x:f>
        <x:v>103.49541356</x:v>
      </x:c>
      <x:c r="R108" s="33" t="n">
        <x:f>Q108/J108</x:f>
        <x:v>0.7137614728275862</x:v>
      </x:c>
      <x:c r="S108" s="27" t="n">
        <x:f>E108*'Cost Build'!D9*$G$11</x:f>
        <x:v>7.9695</x:v>
      </x:c>
      <x:c r="T108" s="27" t="n">
        <x:f>J108+S108</x:f>
        <x:v>152.9695</x:v>
      </x:c>
    </x:row>
    <x:row r="109" ht="22" customHeight="1">
      <x:c r="A109" s="1"/>
      <x:c r="B109" s="1"/>
      <x:c r="C109" s="1" t="str">
        <x:v>BYO API key</x:v>
      </x:c>
      <x:c r="D109" s="1" t="str">
        <x:v>Light</x:v>
      </x:c>
      <x:c r="E109" s="1" t="n">
        <x:v>10</x:v>
      </x:c>
      <x:c r="F109" s="27" t="n">
        <x:f>IF($H$11&gt;0,$H$11+MAX(0,E109-$I$11)*$J$11,MAX(E109,'Inputs'!$D$9)*$D$11)</x:f>
        <x:v>290</x:v>
      </x:c>
      <x:c r="G109" s="27" t="n">
        <x:f>E109*'Cost Build'!D9*(1-$G$11)*$F$11</x:f>
        <x:v>0</x:v>
      </x:c>
      <x:c r="H109" s="27" t="n">
        <x:f>IF($H$11&gt;0,20,MAX(E109,'Inputs'!$D$9)*$E$11)</x:f>
        <x:v>100</x:v>
      </x:c>
      <x:c r="I109" s="27" t="n">
        <x:f>MAX(0,G109-H109)+E109*'Cost Build'!D52</x:f>
        <x:v>0</x:v>
      </x:c>
      <x:c r="J109" s="27" t="n">
        <x:f>F109+I109</x:f>
        <x:v>290</x:v>
      </x:c>
      <x:c r="K109" s="27" t="n">
        <x:f>E109*('Cost Build'!D9*(1-$G$11)+'Cost Build'!D21+'Cost Build'!D33)</x:f>
        <x:v>25.4265208</x:v>
      </x:c>
      <x:c r="L109" s="27" t="n">
        <x:f>K109*(1+'Inputs'!$D$54)</x:f>
        <x:v>27.969172880000002</x:v>
      </x:c>
      <x:c r="M109" s="27" t="n">
        <x:f>E109*'Inputs'!$D$55</x:f>
        <x:v>15</x:v>
      </x:c>
      <x:c r="N109" s="27" t="n">
        <x:f>'Fleet'!$D$17</x:f>
        <x:v>14.5</x:v>
      </x:c>
      <x:c r="O109" s="27" t="n">
        <x:f>J109*'Inputs'!$D$56+'Inputs'!$D$57</x:f>
        <x:v>10.74</x:v>
      </x:c>
      <x:c r="P109" s="27" t="n">
        <x:f>SUM(L109:O109)</x:f>
        <x:v>68.20917288</x:v>
      </x:c>
      <x:c r="Q109" s="27" t="n">
        <x:f>J109-P109</x:f>
        <x:v>221.79082712000002</x:v>
      </x:c>
      <x:c r="R109" s="33" t="n">
        <x:f>Q109/J109</x:f>
        <x:v>0.7647959555862069</x:v>
      </x:c>
      <x:c r="S109" s="27" t="n">
        <x:f>E109*'Cost Build'!D9*$G$11</x:f>
        <x:v>15.939</x:v>
      </x:c>
      <x:c r="T109" s="27" t="n">
        <x:f>J109+S109</x:f>
        <x:v>305.939</x:v>
      </x:c>
    </x:row>
    <x:row r="110" ht="22" customHeight="1">
      <x:c r="A110" s="1"/>
      <x:c r="B110" s="1"/>
      <x:c r="C110" s="1" t="str">
        <x:v>BYO API key</x:v>
      </x:c>
      <x:c r="D110" s="1" t="str">
        <x:v>Light</x:v>
      </x:c>
      <x:c r="E110" s="1" t="n">
        <x:v>20</x:v>
      </x:c>
      <x:c r="F110" s="27" t="n">
        <x:f>IF($H$11&gt;0,$H$11+MAX(0,E110-$I$11)*$J$11,MAX(E110,'Inputs'!$D$9)*$D$11)</x:f>
        <x:v>580</x:v>
      </x:c>
      <x:c r="G110" s="27" t="n">
        <x:f>E110*'Cost Build'!D9*(1-$G$11)*$F$11</x:f>
        <x:v>0</x:v>
      </x:c>
      <x:c r="H110" s="27" t="n">
        <x:f>IF($H$11&gt;0,20,MAX(E110,'Inputs'!$D$9)*$E$11)</x:f>
        <x:v>200</x:v>
      </x:c>
      <x:c r="I110" s="27" t="n">
        <x:f>MAX(0,G110-H110)+E110*'Cost Build'!D52</x:f>
        <x:v>0</x:v>
      </x:c>
      <x:c r="J110" s="27" t="n">
        <x:f>F110+I110</x:f>
        <x:v>580</x:v>
      </x:c>
      <x:c r="K110" s="27" t="n">
        <x:f>E110*('Cost Build'!D9*(1-$G$11)+'Cost Build'!D21+'Cost Build'!D33)</x:f>
        <x:v>50.8530416</x:v>
      </x:c>
      <x:c r="L110" s="27" t="n">
        <x:f>K110*(1+'Inputs'!$D$54)</x:f>
        <x:v>55.938345760000004</x:v>
      </x:c>
      <x:c r="M110" s="27" t="n">
        <x:f>E110*'Inputs'!$D$55</x:f>
        <x:v>30</x:v>
      </x:c>
      <x:c r="N110" s="27" t="n">
        <x:f>'Fleet'!$D$17</x:f>
        <x:v>14.5</x:v>
      </x:c>
      <x:c r="O110" s="27" t="n">
        <x:f>J110*'Inputs'!$D$56+'Inputs'!$D$57</x:f>
        <x:v>21.18</x:v>
      </x:c>
      <x:c r="P110" s="27" t="n">
        <x:f>SUM(L110:O110)</x:f>
        <x:v>121.61834576000001</x:v>
      </x:c>
      <x:c r="Q110" s="27" t="n">
        <x:f>J110-P110</x:f>
        <x:v>458.38165424</x:v>
      </x:c>
      <x:c r="R110" s="33" t="n">
        <x:f>Q110/J110</x:f>
        <x:v>0.7903131969655173</x:v>
      </x:c>
      <x:c r="S110" s="27" t="n">
        <x:f>E110*'Cost Build'!D9*$G$11</x:f>
        <x:v>31.878</x:v>
      </x:c>
      <x:c r="T110" s="27" t="n">
        <x:f>J110+S110</x:f>
        <x:v>611.878</x:v>
      </x:c>
    </x:row>
    <x:row r="111" ht="22" customHeight="1">
      <x:c r="A111" s="1"/>
      <x:c r="B111" s="1"/>
      <x:c r="C111" s="1" t="str">
        <x:v>BYO API key</x:v>
      </x:c>
      <x:c r="D111" s="1" t="str">
        <x:v>Light</x:v>
      </x:c>
      <x:c r="E111" s="1" t="n">
        <x:v>50</x:v>
      </x:c>
      <x:c r="F111" s="27" t="n">
        <x:f>IF($H$11&gt;0,$H$11+MAX(0,E111-$I$11)*$J$11,MAX(E111,'Inputs'!$D$9)*$D$11)</x:f>
        <x:v>1450</x:v>
      </x:c>
      <x:c r="G111" s="27" t="n">
        <x:f>E111*'Cost Build'!D9*(1-$G$11)*$F$11</x:f>
        <x:v>0</x:v>
      </x:c>
      <x:c r="H111" s="27" t="n">
        <x:f>IF($H$11&gt;0,20,MAX(E111,'Inputs'!$D$9)*$E$11)</x:f>
        <x:v>500</x:v>
      </x:c>
      <x:c r="I111" s="27" t="n">
        <x:f>MAX(0,G111-H111)+E111*'Cost Build'!D52</x:f>
        <x:v>0</x:v>
      </x:c>
      <x:c r="J111" s="27" t="n">
        <x:f>F111+I111</x:f>
        <x:v>1450</x:v>
      </x:c>
      <x:c r="K111" s="27" t="n">
        <x:f>E111*('Cost Build'!D9*(1-$G$11)+'Cost Build'!D21+'Cost Build'!D33)</x:f>
        <x:v>127.13260399999999</x:v>
      </x:c>
      <x:c r="L111" s="27" t="n">
        <x:f>K111*(1+'Inputs'!$D$54)</x:f>
        <x:v>139.84586439999998</x:v>
      </x:c>
      <x:c r="M111" s="27" t="n">
        <x:f>E111*'Inputs'!$D$55</x:f>
        <x:v>75</x:v>
      </x:c>
      <x:c r="N111" s="27" t="n">
        <x:f>'Fleet'!$D$17</x:f>
        <x:v>14.5</x:v>
      </x:c>
      <x:c r="O111" s="27" t="n">
        <x:f>J111*'Inputs'!$D$56+'Inputs'!$D$57</x:f>
        <x:v>52.49999999999999</x:v>
      </x:c>
      <x:c r="P111" s="27" t="n">
        <x:f>SUM(L111:O111)</x:f>
        <x:v>281.8458644</x:v>
      </x:c>
      <x:c r="Q111" s="27" t="n">
        <x:f>J111-P111</x:f>
        <x:v>1168.1541356</x:v>
      </x:c>
      <x:c r="R111" s="33" t="n">
        <x:f>Q111/J111</x:f>
        <x:v>0.8056235417931035</x:v>
      </x:c>
      <x:c r="S111" s="27" t="n">
        <x:f>E111*'Cost Build'!D9*$G$11</x:f>
        <x:v>79.69500000000001</x:v>
      </x:c>
      <x:c r="T111" s="27" t="n">
        <x:f>J111+S111</x:f>
        <x:v>1529.695</x:v>
      </x:c>
    </x:row>
    <x:row r="112" ht="22" customHeight="1">
      <x:c r="A112" s="1"/>
      <x:c r="B112" s="1"/>
      <x:c r="C112" s="1" t="str">
        <x:v>BYO API key</x:v>
      </x:c>
      <x:c r="D112" s="1" t="str">
        <x:v>Light</x:v>
      </x:c>
      <x:c r="E112" s="1" t="n">
        <x:v>100</x:v>
      </x:c>
      <x:c r="F112" s="27" t="n">
        <x:f>IF($H$11&gt;0,$H$11+MAX(0,E112-$I$11)*$J$11,MAX(E112,'Inputs'!$D$9)*$D$11)</x:f>
        <x:v>2900</x:v>
      </x:c>
      <x:c r="G112" s="27" t="n">
        <x:f>E112*'Cost Build'!D9*(1-$G$11)*$F$11</x:f>
        <x:v>0</x:v>
      </x:c>
      <x:c r="H112" s="27" t="n">
        <x:f>IF($H$11&gt;0,20,MAX(E112,'Inputs'!$D$9)*$E$11)</x:f>
        <x:v>1000</x:v>
      </x:c>
      <x:c r="I112" s="27" t="n">
        <x:f>MAX(0,G112-H112)+E112*'Cost Build'!D52</x:f>
        <x:v>0</x:v>
      </x:c>
      <x:c r="J112" s="27" t="n">
        <x:f>F112+I112</x:f>
        <x:v>2900</x:v>
      </x:c>
      <x:c r="K112" s="27" t="n">
        <x:f>E112*('Cost Build'!D9*(1-$G$11)+'Cost Build'!D21+'Cost Build'!D33)</x:f>
        <x:v>254.26520799999997</x:v>
      </x:c>
      <x:c r="L112" s="27" t="n">
        <x:f>K112*(1+'Inputs'!$D$54)</x:f>
        <x:v>279.69172879999996</x:v>
      </x:c>
      <x:c r="M112" s="27" t="n">
        <x:f>E112*'Inputs'!$D$55</x:f>
        <x:v>150</x:v>
      </x:c>
      <x:c r="N112" s="27" t="n">
        <x:f>'Fleet'!$D$17</x:f>
        <x:v>14.5</x:v>
      </x:c>
      <x:c r="O112" s="27" t="n">
        <x:f>J112*'Inputs'!$D$56+'Inputs'!$D$57</x:f>
        <x:v>104.69999999999999</x:v>
      </x:c>
      <x:c r="P112" s="27" t="n">
        <x:f>SUM(L112:O112)</x:f>
        <x:v>548.8917288</x:v>
      </x:c>
      <x:c r="Q112" s="27" t="n">
        <x:f>J112-P112</x:f>
        <x:v>2351.1082711999998</x:v>
      </x:c>
      <x:c r="R112" s="33" t="n">
        <x:f>Q112/J112</x:f>
        <x:v>0.8107269900689654</x:v>
      </x:c>
      <x:c r="S112" s="27" t="n">
        <x:f>E112*'Cost Build'!D9*$G$11</x:f>
        <x:v>159.39000000000001</x:v>
      </x:c>
      <x:c r="T112" s="27" t="n">
        <x:f>J112+S112</x:f>
        <x:v>3059.39</x:v>
      </x:c>
    </x:row>
    <x:row r="113" ht="22" customHeight="1">
      <x:c r="A113" s="1"/>
      <x:c r="B113" s="1"/>
      <x:c r="C113" s="1" t="str">
        <x:v>BYO API key</x:v>
      </x:c>
      <x:c r="D113" s="1" t="str">
        <x:v>Typical</x:v>
      </x:c>
      <x:c r="E113" s="1" t="n">
        <x:v>3</x:v>
      </x:c>
      <x:c r="F113" s="27" t="n">
        <x:f>IF($H$11&gt;0,$H$11+MAX(0,E113-$I$11)*$J$11,MAX(E113,'Inputs'!$D$9)*$D$11)</x:f>
        <x:v>87</x:v>
      </x:c>
      <x:c r="G113" s="27" t="n">
        <x:f>E113*'Cost Build'!E9*(1-$G$11)*$F$11</x:f>
        <x:v>0</x:v>
      </x:c>
      <x:c r="H113" s="27" t="n">
        <x:f>IF($H$11&gt;0,20,MAX(E113,'Inputs'!$D$9)*$E$11)</x:f>
        <x:v>30</x:v>
      </x:c>
      <x:c r="I113" s="27" t="n">
        <x:f>MAX(0,G113-H113)+E113*'Cost Build'!E52</x:f>
        <x:v>0</x:v>
      </x:c>
      <x:c r="J113" s="27" t="n">
        <x:f>F113+I113</x:f>
        <x:v>87</x:v>
      </x:c>
      <x:c r="K113" s="27" t="n">
        <x:f>E113*('Cost Build'!E9*(1-$G$11)+'Cost Build'!E21+'Cost Build'!E33)</x:f>
        <x:v>24.7060062</x:v>
      </x:c>
      <x:c r="L113" s="27" t="n">
        <x:f>K113*(1+'Inputs'!$D$54)</x:f>
        <x:v>27.176606820000003</x:v>
      </x:c>
      <x:c r="M113" s="27" t="n">
        <x:f>E113*'Inputs'!$D$55</x:f>
        <x:v>4.5</x:v>
      </x:c>
      <x:c r="N113" s="27" t="n">
        <x:f>'Fleet'!$D$17</x:f>
        <x:v>14.5</x:v>
      </x:c>
      <x:c r="O113" s="27" t="n">
        <x:f>J113*'Inputs'!$D$56+'Inputs'!$D$57</x:f>
        <x:v>3.4319999999999995</x:v>
      </x:c>
      <x:c r="P113" s="27" t="n">
        <x:f>SUM(L113:O113)</x:f>
        <x:v>49.608606820000006</x:v>
      </x:c>
      <x:c r="Q113" s="27" t="n">
        <x:f>J113-P113</x:f>
        <x:v>37.391393179999994</x:v>
      </x:c>
      <x:c r="R113" s="33" t="n">
        <x:f>Q113/J113</x:f>
        <x:v>0.42978612850574704</x:v>
      </x:c>
      <x:c r="S113" s="27" t="n">
        <x:f>E113*'Cost Build'!E9*$G$11</x:f>
        <x:v>15.290099999999999</x:v>
      </x:c>
      <x:c r="T113" s="27" t="n">
        <x:f>J113+S113</x:f>
        <x:v>102.2901</x:v>
      </x:c>
    </x:row>
    <x:row r="114" ht="22" customHeight="1">
      <x:c r="A114" s="1"/>
      <x:c r="B114" s="1"/>
      <x:c r="C114" s="1" t="str">
        <x:v>BYO API key</x:v>
      </x:c>
      <x:c r="D114" s="1" t="str">
        <x:v>Typical</x:v>
      </x:c>
      <x:c r="E114" s="1" t="n">
        <x:v>5</x:v>
      </x:c>
      <x:c r="F114" s="27" t="n">
        <x:f>IF($H$11&gt;0,$H$11+MAX(0,E114-$I$11)*$J$11,MAX(E114,'Inputs'!$D$9)*$D$11)</x:f>
        <x:v>145</x:v>
      </x:c>
      <x:c r="G114" s="27" t="n">
        <x:f>E114*'Cost Build'!E9*(1-$G$11)*$F$11</x:f>
        <x:v>0</x:v>
      </x:c>
      <x:c r="H114" s="27" t="n">
        <x:f>IF($H$11&gt;0,20,MAX(E114,'Inputs'!$D$9)*$E$11)</x:f>
        <x:v>50</x:v>
      </x:c>
      <x:c r="I114" s="27" t="n">
        <x:f>MAX(0,G114-H114)+E114*'Cost Build'!E52</x:f>
        <x:v>0</x:v>
      </x:c>
      <x:c r="J114" s="27" t="n">
        <x:f>F114+I114</x:f>
        <x:v>145</x:v>
      </x:c>
      <x:c r="K114" s="27" t="n">
        <x:f>E114*('Cost Build'!E9*(1-$G$11)+'Cost Build'!E21+'Cost Build'!E33)</x:f>
        <x:v>41.176677</x:v>
      </x:c>
      <x:c r="L114" s="27" t="n">
        <x:f>K114*(1+'Inputs'!$D$54)</x:f>
        <x:v>45.2943447</x:v>
      </x:c>
      <x:c r="M114" s="27" t="n">
        <x:f>E114*'Inputs'!$D$55</x:f>
        <x:v>7.5</x:v>
      </x:c>
      <x:c r="N114" s="27" t="n">
        <x:f>'Fleet'!$D$17</x:f>
        <x:v>14.5</x:v>
      </x:c>
      <x:c r="O114" s="27" t="n">
        <x:f>J114*'Inputs'!$D$56+'Inputs'!$D$57</x:f>
        <x:v>5.52</x:v>
      </x:c>
      <x:c r="P114" s="27" t="n">
        <x:f>SUM(L114:O114)</x:f>
        <x:v>72.8143447</x:v>
      </x:c>
      <x:c r="Q114" s="27" t="n">
        <x:f>J114-P114</x:f>
        <x:v>72.1856553</x:v>
      </x:c>
      <x:c r="R114" s="33" t="n">
        <x:f>Q114/J114</x:f>
        <x:v>0.49783210551724133</x:v>
      </x:c>
      <x:c r="S114" s="27" t="n">
        <x:f>E114*'Cost Build'!E9*$G$11</x:f>
        <x:v>25.483499999999996</x:v>
      </x:c>
      <x:c r="T114" s="27" t="n">
        <x:f>J114+S114</x:f>
        <x:v>170.4835</x:v>
      </x:c>
    </x:row>
    <x:row r="115" ht="22" customHeight="1">
      <x:c r="A115" s="1"/>
      <x:c r="B115" s="1"/>
      <x:c r="C115" s="1" t="str">
        <x:v>BYO API key</x:v>
      </x:c>
      <x:c r="D115" s="1" t="str">
        <x:v>Typical</x:v>
      </x:c>
      <x:c r="E115" s="1" t="n">
        <x:v>10</x:v>
      </x:c>
      <x:c r="F115" s="27" t="n">
        <x:f>IF($H$11&gt;0,$H$11+MAX(0,E115-$I$11)*$J$11,MAX(E115,'Inputs'!$D$9)*$D$11)</x:f>
        <x:v>290</x:v>
      </x:c>
      <x:c r="G115" s="27" t="n">
        <x:f>E115*'Cost Build'!E9*(1-$G$11)*$F$11</x:f>
        <x:v>0</x:v>
      </x:c>
      <x:c r="H115" s="27" t="n">
        <x:f>IF($H$11&gt;0,20,MAX(E115,'Inputs'!$D$9)*$E$11)</x:f>
        <x:v>100</x:v>
      </x:c>
      <x:c r="I115" s="27" t="n">
        <x:f>MAX(0,G115-H115)+E115*'Cost Build'!E52</x:f>
        <x:v>0</x:v>
      </x:c>
      <x:c r="J115" s="27" t="n">
        <x:f>F115+I115</x:f>
        <x:v>290</x:v>
      </x:c>
      <x:c r="K115" s="27" t="n">
        <x:f>E115*('Cost Build'!E9*(1-$G$11)+'Cost Build'!E21+'Cost Build'!E33)</x:f>
        <x:v>82.353354</x:v>
      </x:c>
      <x:c r="L115" s="27" t="n">
        <x:f>K115*(1+'Inputs'!$D$54)</x:f>
        <x:v>90.5886894</x:v>
      </x:c>
      <x:c r="M115" s="27" t="n">
        <x:f>E115*'Inputs'!$D$55</x:f>
        <x:v>15</x:v>
      </x:c>
      <x:c r="N115" s="27" t="n">
        <x:f>'Fleet'!$D$17</x:f>
        <x:v>14.5</x:v>
      </x:c>
      <x:c r="O115" s="27" t="n">
        <x:f>J115*'Inputs'!$D$56+'Inputs'!$D$57</x:f>
        <x:v>10.74</x:v>
      </x:c>
      <x:c r="P115" s="27" t="n">
        <x:f>SUM(L115:O115)</x:f>
        <x:v>130.8286894</x:v>
      </x:c>
      <x:c r="Q115" s="27" t="n">
        <x:f>J115-P115</x:f>
        <x:v>159.1713106</x:v>
      </x:c>
      <x:c r="R115" s="33" t="n">
        <x:f>Q115/J115</x:f>
        <x:v>0.5488665882758621</x:v>
      </x:c>
      <x:c r="S115" s="27" t="n">
        <x:f>E115*'Cost Build'!E9*$G$11</x:f>
        <x:v>50.96699999999999</x:v>
      </x:c>
      <x:c r="T115" s="27" t="n">
        <x:f>J115+S115</x:f>
        <x:v>340.967</x:v>
      </x:c>
    </x:row>
    <x:row r="116" ht="22" customHeight="1">
      <x:c r="A116" s="1"/>
      <x:c r="B116" s="1"/>
      <x:c r="C116" s="1" t="str">
        <x:v>BYO API key</x:v>
      </x:c>
      <x:c r="D116" s="1" t="str">
        <x:v>Typical</x:v>
      </x:c>
      <x:c r="E116" s="1" t="n">
        <x:v>20</x:v>
      </x:c>
      <x:c r="F116" s="27" t="n">
        <x:f>IF($H$11&gt;0,$H$11+MAX(0,E116-$I$11)*$J$11,MAX(E116,'Inputs'!$D$9)*$D$11)</x:f>
        <x:v>580</x:v>
      </x:c>
      <x:c r="G116" s="27" t="n">
        <x:f>E116*'Cost Build'!E9*(1-$G$11)*$F$11</x:f>
        <x:v>0</x:v>
      </x:c>
      <x:c r="H116" s="27" t="n">
        <x:f>IF($H$11&gt;0,20,MAX(E116,'Inputs'!$D$9)*$E$11)</x:f>
        <x:v>200</x:v>
      </x:c>
      <x:c r="I116" s="27" t="n">
        <x:f>MAX(0,G116-H116)+E116*'Cost Build'!E52</x:f>
        <x:v>0</x:v>
      </x:c>
      <x:c r="J116" s="27" t="n">
        <x:f>F116+I116</x:f>
        <x:v>580</x:v>
      </x:c>
      <x:c r="K116" s="27" t="n">
        <x:f>E116*('Cost Build'!E9*(1-$G$11)+'Cost Build'!E21+'Cost Build'!E33)</x:f>
        <x:v>164.706708</x:v>
      </x:c>
      <x:c r="L116" s="27" t="n">
        <x:f>K116*(1+'Inputs'!$D$54)</x:f>
        <x:v>181.1773788</x:v>
      </x:c>
      <x:c r="M116" s="27" t="n">
        <x:f>E116*'Inputs'!$D$55</x:f>
        <x:v>30</x:v>
      </x:c>
      <x:c r="N116" s="27" t="n">
        <x:f>'Fleet'!$D$17</x:f>
        <x:v>14.5</x:v>
      </x:c>
      <x:c r="O116" s="27" t="n">
        <x:f>J116*'Inputs'!$D$56+'Inputs'!$D$57</x:f>
        <x:v>21.18</x:v>
      </x:c>
      <x:c r="P116" s="27" t="n">
        <x:f>SUM(L116:O116)</x:f>
        <x:v>246.85737880000002</x:v>
      </x:c>
      <x:c r="Q116" s="27" t="n">
        <x:f>J116-P116</x:f>
        <x:v>333.1426212</x:v>
      </x:c>
      <x:c r="R116" s="33" t="n">
        <x:f>Q116/J116</x:f>
        <x:v>0.5743838296551724</x:v>
      </x:c>
      <x:c r="S116" s="27" t="n">
        <x:f>E116*'Cost Build'!E9*$G$11</x:f>
        <x:v>101.93399999999998</x:v>
      </x:c>
      <x:c r="T116" s="27" t="n">
        <x:f>J116+S116</x:f>
        <x:v>681.934</x:v>
      </x:c>
    </x:row>
    <x:row r="117" ht="22" customHeight="1">
      <x:c r="A117" s="1"/>
      <x:c r="B117" s="1"/>
      <x:c r="C117" s="1" t="str">
        <x:v>BYO API key</x:v>
      </x:c>
      <x:c r="D117" s="1" t="str">
        <x:v>Typical</x:v>
      </x:c>
      <x:c r="E117" s="1" t="n">
        <x:v>50</x:v>
      </x:c>
      <x:c r="F117" s="27" t="n">
        <x:f>IF($H$11&gt;0,$H$11+MAX(0,E117-$I$11)*$J$11,MAX(E117,'Inputs'!$D$9)*$D$11)</x:f>
        <x:v>1450</x:v>
      </x:c>
      <x:c r="G117" s="27" t="n">
        <x:f>E117*'Cost Build'!E9*(1-$G$11)*$F$11</x:f>
        <x:v>0</x:v>
      </x:c>
      <x:c r="H117" s="27" t="n">
        <x:f>IF($H$11&gt;0,20,MAX(E117,'Inputs'!$D$9)*$E$11)</x:f>
        <x:v>500</x:v>
      </x:c>
      <x:c r="I117" s="27" t="n">
        <x:f>MAX(0,G117-H117)+E117*'Cost Build'!E52</x:f>
        <x:v>0</x:v>
      </x:c>
      <x:c r="J117" s="27" t="n">
        <x:f>F117+I117</x:f>
        <x:v>1450</x:v>
      </x:c>
      <x:c r="K117" s="27" t="n">
        <x:f>E117*('Cost Build'!E9*(1-$G$11)+'Cost Build'!E21+'Cost Build'!E33)</x:f>
        <x:v>411.76677</x:v>
      </x:c>
      <x:c r="L117" s="27" t="n">
        <x:f>K117*(1+'Inputs'!$D$54)</x:f>
        <x:v>452.94344700000005</x:v>
      </x:c>
      <x:c r="M117" s="27" t="n">
        <x:f>E117*'Inputs'!$D$55</x:f>
        <x:v>75</x:v>
      </x:c>
      <x:c r="N117" s="27" t="n">
        <x:f>'Fleet'!$D$17</x:f>
        <x:v>14.5</x:v>
      </x:c>
      <x:c r="O117" s="27" t="n">
        <x:f>J117*'Inputs'!$D$56+'Inputs'!$D$57</x:f>
        <x:v>52.49999999999999</x:v>
      </x:c>
      <x:c r="P117" s="27" t="n">
        <x:f>SUM(L117:O117)</x:f>
        <x:v>594.9434470000001</x:v>
      </x:c>
      <x:c r="Q117" s="27" t="n">
        <x:f>J117-P117</x:f>
        <x:v>855.0565529999999</x:v>
      </x:c>
      <x:c r="R117" s="33" t="n">
        <x:f>Q117/J117</x:f>
        <x:v>0.5896941744827585</x:v>
      </x:c>
      <x:c r="S117" s="27" t="n">
        <x:f>E117*'Cost Build'!E9*$G$11</x:f>
        <x:v>254.83499999999998</x:v>
      </x:c>
      <x:c r="T117" s="27" t="n">
        <x:f>J117+S117</x:f>
        <x:v>1704.835</x:v>
      </x:c>
    </x:row>
    <x:row r="118" ht="22" customHeight="1">
      <x:c r="A118" s="1"/>
      <x:c r="B118" s="1"/>
      <x:c r="C118" s="1" t="str">
        <x:v>BYO API key</x:v>
      </x:c>
      <x:c r="D118" s="1" t="str">
        <x:v>Typical</x:v>
      </x:c>
      <x:c r="E118" s="1" t="n">
        <x:v>100</x:v>
      </x:c>
      <x:c r="F118" s="27" t="n">
        <x:f>IF($H$11&gt;0,$H$11+MAX(0,E118-$I$11)*$J$11,MAX(E118,'Inputs'!$D$9)*$D$11)</x:f>
        <x:v>2900</x:v>
      </x:c>
      <x:c r="G118" s="27" t="n">
        <x:f>E118*'Cost Build'!E9*(1-$G$11)*$F$11</x:f>
        <x:v>0</x:v>
      </x:c>
      <x:c r="H118" s="27" t="n">
        <x:f>IF($H$11&gt;0,20,MAX(E118,'Inputs'!$D$9)*$E$11)</x:f>
        <x:v>1000</x:v>
      </x:c>
      <x:c r="I118" s="27" t="n">
        <x:f>MAX(0,G118-H118)+E118*'Cost Build'!E52</x:f>
        <x:v>0</x:v>
      </x:c>
      <x:c r="J118" s="27" t="n">
        <x:f>F118+I118</x:f>
        <x:v>2900</x:v>
      </x:c>
      <x:c r="K118" s="27" t="n">
        <x:f>E118*('Cost Build'!E9*(1-$G$11)+'Cost Build'!E21+'Cost Build'!E33)</x:f>
        <x:v>823.53354</x:v>
      </x:c>
      <x:c r="L118" s="27" t="n">
        <x:f>K118*(1+'Inputs'!$D$54)</x:f>
        <x:v>905.8868940000001</x:v>
      </x:c>
      <x:c r="M118" s="27" t="n">
        <x:f>E118*'Inputs'!$D$55</x:f>
        <x:v>150</x:v>
      </x:c>
      <x:c r="N118" s="27" t="n">
        <x:f>'Fleet'!$D$17</x:f>
        <x:v>14.5</x:v>
      </x:c>
      <x:c r="O118" s="27" t="n">
        <x:f>J118*'Inputs'!$D$56+'Inputs'!$D$57</x:f>
        <x:v>104.69999999999999</x:v>
      </x:c>
      <x:c r="P118" s="27" t="n">
        <x:f>SUM(L118:O118)</x:f>
        <x:v>1175.0868940000003</x:v>
      </x:c>
      <x:c r="Q118" s="27" t="n">
        <x:f>J118-P118</x:f>
        <x:v>1724.9131059999997</x:v>
      </x:c>
      <x:c r="R118" s="33" t="n">
        <x:f>Q118/J118</x:f>
        <x:v>0.5947976227586206</x:v>
      </x:c>
      <x:c r="S118" s="27" t="n">
        <x:f>E118*'Cost Build'!E9*$G$11</x:f>
        <x:v>509.66999999999996</x:v>
      </x:c>
      <x:c r="T118" s="27" t="n">
        <x:f>J118+S118</x:f>
        <x:v>3409.67</x:v>
      </x:c>
    </x:row>
    <x:row r="119" ht="22" customHeight="1">
      <x:c r="A119" s="1"/>
      <x:c r="B119" s="1"/>
      <x:c r="C119" s="1" t="str">
        <x:v>BYO API key</x:v>
      </x:c>
      <x:c r="D119" s="1" t="str">
        <x:v>Heavy</x:v>
      </x:c>
      <x:c r="E119" s="1" t="n">
        <x:v>3</x:v>
      </x:c>
      <x:c r="F119" s="27" t="n">
        <x:f>IF($H$11&gt;0,$H$11+MAX(0,E119-$I$11)*$J$11,MAX(E119,'Inputs'!$D$9)*$D$11)</x:f>
        <x:v>87</x:v>
      </x:c>
      <x:c r="G119" s="27" t="n">
        <x:f>E119*'Cost Build'!F9*(1-$G$11)*$F$11</x:f>
        <x:v>0</x:v>
      </x:c>
      <x:c r="H119" s="27" t="n">
        <x:f>IF($H$11&gt;0,20,MAX(E119,'Inputs'!$D$9)*$E$11)</x:f>
        <x:v>30</x:v>
      </x:c>
      <x:c r="I119" s="27" t="n">
        <x:f>MAX(0,G119-H119)+E119*'Cost Build'!F52</x:f>
        <x:v>31.266000000000002</x:v>
      </x:c>
      <x:c r="J119" s="27" t="n">
        <x:f>F119+I119</x:f>
        <x:v>118.266</x:v>
      </x:c>
      <x:c r="K119" s="27" t="n">
        <x:f>E119*('Cost Build'!F9*(1-$G$11)+'Cost Build'!F21+'Cost Build'!F33)</x:f>
        <x:v>87.65182800000001</x:v>
      </x:c>
      <x:c r="L119" s="27" t="n">
        <x:f>K119*(1+'Inputs'!$D$54)</x:f>
        <x:v>96.41701080000001</x:v>
      </x:c>
      <x:c r="M119" s="27" t="n">
        <x:f>E119*'Inputs'!$D$55</x:f>
        <x:v>4.5</x:v>
      </x:c>
      <x:c r="N119" s="27" t="n">
        <x:f>'Fleet'!$D$17</x:f>
        <x:v>14.5</x:v>
      </x:c>
      <x:c r="O119" s="27" t="n">
        <x:f>J119*'Inputs'!$D$56+'Inputs'!$D$57</x:f>
        <x:v>4.557576</x:v>
      </x:c>
      <x:c r="P119" s="27" t="n">
        <x:f>SUM(L119:O119)</x:f>
        <x:v>119.97458680000001</x:v>
      </x:c>
      <x:c r="Q119" s="27" t="n">
        <x:f>J119-P119</x:f>
        <x:v>-1.7085868000000062</x:v>
      </x:c>
      <x:c r="R119" s="33" t="n">
        <x:f>Q119/J119</x:f>
        <x:v>-0.014446982226506401</x:v>
      </x:c>
      <x:c r="S119" s="27" t="n">
        <x:f>E119*'Cost Build'!F9*$G$11</x:f>
        <x:v>63.756</x:v>
      </x:c>
      <x:c r="T119" s="27" t="n">
        <x:f>J119+S119</x:f>
        <x:v>182.022</x:v>
      </x:c>
    </x:row>
    <x:row r="120" ht="22" customHeight="1">
      <x:c r="A120" s="1"/>
      <x:c r="B120" s="1"/>
      <x:c r="C120" s="1" t="str">
        <x:v>BYO API key</x:v>
      </x:c>
      <x:c r="D120" s="1" t="str">
        <x:v>Heavy</x:v>
      </x:c>
      <x:c r="E120" s="1" t="n">
        <x:v>5</x:v>
      </x:c>
      <x:c r="F120" s="27" t="n">
        <x:f>IF($H$11&gt;0,$H$11+MAX(0,E120-$I$11)*$J$11,MAX(E120,'Inputs'!$D$9)*$D$11)</x:f>
        <x:v>145</x:v>
      </x:c>
      <x:c r="G120" s="27" t="n">
        <x:f>E120*'Cost Build'!F9*(1-$G$11)*$F$11</x:f>
        <x:v>0</x:v>
      </x:c>
      <x:c r="H120" s="27" t="n">
        <x:f>IF($H$11&gt;0,20,MAX(E120,'Inputs'!$D$9)*$E$11)</x:f>
        <x:v>50</x:v>
      </x:c>
      <x:c r="I120" s="27" t="n">
        <x:f>MAX(0,G120-H120)+E120*'Cost Build'!F52</x:f>
        <x:v>52.11</x:v>
      </x:c>
      <x:c r="J120" s="27" t="n">
        <x:f>F120+I120</x:f>
        <x:v>197.11</x:v>
      </x:c>
      <x:c r="K120" s="27" t="n">
        <x:f>E120*('Cost Build'!F9*(1-$G$11)+'Cost Build'!F21+'Cost Build'!F33)</x:f>
        <x:v>146.08638000000002</x:v>
      </x:c>
      <x:c r="L120" s="27" t="n">
        <x:f>K120*(1+'Inputs'!$D$54)</x:f>
        <x:v>160.69501800000003</x:v>
      </x:c>
      <x:c r="M120" s="27" t="n">
        <x:f>E120*'Inputs'!$D$55</x:f>
        <x:v>7.5</x:v>
      </x:c>
      <x:c r="N120" s="27" t="n">
        <x:f>'Fleet'!$D$17</x:f>
        <x:v>14.5</x:v>
      </x:c>
      <x:c r="O120" s="27" t="n">
        <x:f>J120*'Inputs'!$D$56+'Inputs'!$D$57</x:f>
        <x:v>7.39596</x:v>
      </x:c>
      <x:c r="P120" s="27" t="n">
        <x:f>SUM(L120:O120)</x:f>
        <x:v>190.09097800000004</x:v>
      </x:c>
      <x:c r="Q120" s="27" t="n">
        <x:f>J120-P120</x:f>
        <x:v>7.019021999999978</x:v>
      </x:c>
      <x:c r="R120" s="33" t="n">
        <x:f>Q120/J120</x:f>
        <x:v>0.03560966972756318</x:v>
      </x:c>
      <x:c r="S120" s="27" t="n">
        <x:f>E120*'Cost Build'!F9*$G$11</x:f>
        <x:v>106.25999999999999</x:v>
      </x:c>
      <x:c r="T120" s="27" t="n">
        <x:f>J120+S120</x:f>
        <x:v>303.37</x:v>
      </x:c>
    </x:row>
    <x:row r="121" ht="22" customHeight="1">
      <x:c r="A121" s="1"/>
      <x:c r="B121" s="1"/>
      <x:c r="C121" s="1" t="str">
        <x:v>BYO API key</x:v>
      </x:c>
      <x:c r="D121" s="1" t="str">
        <x:v>Heavy</x:v>
      </x:c>
      <x:c r="E121" s="1" t="n">
        <x:v>10</x:v>
      </x:c>
      <x:c r="F121" s="27" t="n">
        <x:f>IF($H$11&gt;0,$H$11+MAX(0,E121-$I$11)*$J$11,MAX(E121,'Inputs'!$D$9)*$D$11)</x:f>
        <x:v>290</x:v>
      </x:c>
      <x:c r="G121" s="27" t="n">
        <x:f>E121*'Cost Build'!F9*(1-$G$11)*$F$11</x:f>
        <x:v>0</x:v>
      </x:c>
      <x:c r="H121" s="27" t="n">
        <x:f>IF($H$11&gt;0,20,MAX(E121,'Inputs'!$D$9)*$E$11)</x:f>
        <x:v>100</x:v>
      </x:c>
      <x:c r="I121" s="27" t="n">
        <x:f>MAX(0,G121-H121)+E121*'Cost Build'!F52</x:f>
        <x:v>104.22</x:v>
      </x:c>
      <x:c r="J121" s="27" t="n">
        <x:f>F121+I121</x:f>
        <x:v>394.22</x:v>
      </x:c>
      <x:c r="K121" s="27" t="n">
        <x:f>E121*('Cost Build'!F9*(1-$G$11)+'Cost Build'!F21+'Cost Build'!F33)</x:f>
        <x:v>292.17276000000004</x:v>
      </x:c>
      <x:c r="L121" s="27" t="n">
        <x:f>K121*(1+'Inputs'!$D$54)</x:f>
        <x:v>321.39003600000007</x:v>
      </x:c>
      <x:c r="M121" s="27" t="n">
        <x:f>E121*'Inputs'!$D$55</x:f>
        <x:v>15</x:v>
      </x:c>
      <x:c r="N121" s="27" t="n">
        <x:f>'Fleet'!$D$17</x:f>
        <x:v>14.5</x:v>
      </x:c>
      <x:c r="O121" s="27" t="n">
        <x:f>J121*'Inputs'!$D$56+'Inputs'!$D$57</x:f>
        <x:v>14.49192</x:v>
      </x:c>
      <x:c r="P121" s="27" t="n">
        <x:f>SUM(L121:O121)</x:f>
        <x:v>365.38195600000006</x:v>
      </x:c>
      <x:c r="Q121" s="27" t="n">
        <x:f>J121-P121</x:f>
        <x:v>28.838043999999968</x:v>
      </x:c>
      <x:c r="R121" s="33" t="n">
        <x:f>Q121/J121</x:f>
        <x:v>0.07315215869311543</x:v>
      </x:c>
      <x:c r="S121" s="27" t="n">
        <x:f>E121*'Cost Build'!F9*$G$11</x:f>
        <x:v>212.51999999999998</x:v>
      </x:c>
      <x:c r="T121" s="27" t="n">
        <x:f>J121+S121</x:f>
        <x:v>606.74</x:v>
      </x:c>
    </x:row>
    <x:row r="122" ht="22" customHeight="1">
      <x:c r="A122" s="1"/>
      <x:c r="B122" s="1"/>
      <x:c r="C122" s="1" t="str">
        <x:v>BYO API key</x:v>
      </x:c>
      <x:c r="D122" s="1" t="str">
        <x:v>Heavy</x:v>
      </x:c>
      <x:c r="E122" s="1" t="n">
        <x:v>20</x:v>
      </x:c>
      <x:c r="F122" s="27" t="n">
        <x:f>IF($H$11&gt;0,$H$11+MAX(0,E122-$I$11)*$J$11,MAX(E122,'Inputs'!$D$9)*$D$11)</x:f>
        <x:v>580</x:v>
      </x:c>
      <x:c r="G122" s="27" t="n">
        <x:f>E122*'Cost Build'!F9*(1-$G$11)*$F$11</x:f>
        <x:v>0</x:v>
      </x:c>
      <x:c r="H122" s="27" t="n">
        <x:f>IF($H$11&gt;0,20,MAX(E122,'Inputs'!$D$9)*$E$11)</x:f>
        <x:v>200</x:v>
      </x:c>
      <x:c r="I122" s="27" t="n">
        <x:f>MAX(0,G122-H122)+E122*'Cost Build'!F52</x:f>
        <x:v>208.44</x:v>
      </x:c>
      <x:c r="J122" s="27" t="n">
        <x:f>F122+I122</x:f>
        <x:v>788.44</x:v>
      </x:c>
      <x:c r="K122" s="27" t="n">
        <x:f>E122*('Cost Build'!F9*(1-$G$11)+'Cost Build'!F21+'Cost Build'!F33)</x:f>
        <x:v>584.3455200000001</x:v>
      </x:c>
      <x:c r="L122" s="27" t="n">
        <x:f>K122*(1+'Inputs'!$D$54)</x:f>
        <x:v>642.7800720000001</x:v>
      </x:c>
      <x:c r="M122" s="27" t="n">
        <x:f>E122*'Inputs'!$D$55</x:f>
        <x:v>30</x:v>
      </x:c>
      <x:c r="N122" s="27" t="n">
        <x:f>'Fleet'!$D$17</x:f>
        <x:v>14.5</x:v>
      </x:c>
      <x:c r="O122" s="27" t="n">
        <x:f>J122*'Inputs'!$D$56+'Inputs'!$D$57</x:f>
        <x:v>28.68384</x:v>
      </x:c>
      <x:c r="P122" s="27" t="n">
        <x:f>SUM(L122:O122)</x:f>
        <x:v>715.9639120000002</x:v>
      </x:c>
      <x:c r="Q122" s="27" t="n">
        <x:f>J122-P122</x:f>
        <x:v>72.47608799999989</x:v>
      </x:c>
      <x:c r="R122" s="33" t="n">
        <x:f>Q122/J122</x:f>
        <x:v>0.09192340317589148</x:v>
      </x:c>
      <x:c r="S122" s="27" t="n">
        <x:f>E122*'Cost Build'!F9*$G$11</x:f>
        <x:v>425.03999999999996</x:v>
      </x:c>
      <x:c r="T122" s="27" t="n">
        <x:f>J122+S122</x:f>
        <x:v>1213.48</x:v>
      </x:c>
    </x:row>
    <x:row r="123" ht="22" customHeight="1">
      <x:c r="A123" s="1"/>
      <x:c r="B123" s="1"/>
      <x:c r="C123" s="1" t="str">
        <x:v>BYO API key</x:v>
      </x:c>
      <x:c r="D123" s="1" t="str">
        <x:v>Heavy</x:v>
      </x:c>
      <x:c r="E123" s="1" t="n">
        <x:v>50</x:v>
      </x:c>
      <x:c r="F123" s="27" t="n">
        <x:f>IF($H$11&gt;0,$H$11+MAX(0,E123-$I$11)*$J$11,MAX(E123,'Inputs'!$D$9)*$D$11)</x:f>
        <x:v>1450</x:v>
      </x:c>
      <x:c r="G123" s="27" t="n">
        <x:f>E123*'Cost Build'!F9*(1-$G$11)*$F$11</x:f>
        <x:v>0</x:v>
      </x:c>
      <x:c r="H123" s="27" t="n">
        <x:f>IF($H$11&gt;0,20,MAX(E123,'Inputs'!$D$9)*$E$11)</x:f>
        <x:v>500</x:v>
      </x:c>
      <x:c r="I123" s="27" t="n">
        <x:f>MAX(0,G123-H123)+E123*'Cost Build'!F52</x:f>
        <x:v>521.1</x:v>
      </x:c>
      <x:c r="J123" s="27" t="n">
        <x:f>F123+I123</x:f>
        <x:v>1971.1</x:v>
      </x:c>
      <x:c r="K123" s="27" t="n">
        <x:f>E123*('Cost Build'!F9*(1-$G$11)+'Cost Build'!F21+'Cost Build'!F33)</x:f>
        <x:v>1460.8638</x:v>
      </x:c>
      <x:c r="L123" s="27" t="n">
        <x:f>K123*(1+'Inputs'!$D$54)</x:f>
        <x:v>1606.9501800000003</x:v>
      </x:c>
      <x:c r="M123" s="27" t="n">
        <x:f>E123*'Inputs'!$D$55</x:f>
        <x:v>75</x:v>
      </x:c>
      <x:c r="N123" s="27" t="n">
        <x:f>'Fleet'!$D$17</x:f>
        <x:v>14.5</x:v>
      </x:c>
      <x:c r="O123" s="27" t="n">
        <x:f>J123*'Inputs'!$D$56+'Inputs'!$D$57</x:f>
        <x:v>71.25959999999999</x:v>
      </x:c>
      <x:c r="P123" s="27" t="n">
        <x:f>SUM(L123:O123)</x:f>
        <x:v>1767.7097800000004</x:v>
      </x:c>
      <x:c r="Q123" s="27" t="n">
        <x:f>J123-P123</x:f>
        <x:v>203.39021999999954</x:v>
      </x:c>
      <x:c r="R123" s="33" t="n">
        <x:f>Q123/J123</x:f>
        <x:v>0.10318614986555708</x:v>
      </x:c>
      <x:c r="S123" s="27" t="n">
        <x:f>E123*'Cost Build'!F9*$G$11</x:f>
        <x:v>1062.6</x:v>
      </x:c>
      <x:c r="T123" s="27" t="n">
        <x:f>J123+S123</x:f>
        <x:v>3033.7</x:v>
      </x:c>
    </x:row>
    <x:row r="124" ht="22" customHeight="1">
      <x:c r="A124" s="1"/>
      <x:c r="B124" s="1"/>
      <x:c r="C124" s="1" t="str">
        <x:v>BYO API key</x:v>
      </x:c>
      <x:c r="D124" s="1" t="str">
        <x:v>Heavy</x:v>
      </x:c>
      <x:c r="E124" s="1" t="n">
        <x:v>100</x:v>
      </x:c>
      <x:c r="F124" s="27" t="n">
        <x:f>IF($H$11&gt;0,$H$11+MAX(0,E124-$I$11)*$J$11,MAX(E124,'Inputs'!$D$9)*$D$11)</x:f>
        <x:v>2900</x:v>
      </x:c>
      <x:c r="G124" s="27" t="n">
        <x:f>E124*'Cost Build'!F9*(1-$G$11)*$F$11</x:f>
        <x:v>0</x:v>
      </x:c>
      <x:c r="H124" s="27" t="n">
        <x:f>IF($H$11&gt;0,20,MAX(E124,'Inputs'!$D$9)*$E$11)</x:f>
        <x:v>1000</x:v>
      </x:c>
      <x:c r="I124" s="27" t="n">
        <x:f>MAX(0,G124-H124)+E124*'Cost Build'!F52</x:f>
        <x:v>1042.2</x:v>
      </x:c>
      <x:c r="J124" s="27" t="n">
        <x:f>F124+I124</x:f>
        <x:v>3942.2</x:v>
      </x:c>
      <x:c r="K124" s="27" t="n">
        <x:f>E124*('Cost Build'!F9*(1-$G$11)+'Cost Build'!F21+'Cost Build'!F33)</x:f>
        <x:v>2921.7276</x:v>
      </x:c>
      <x:c r="L124" s="27" t="n">
        <x:f>K124*(1+'Inputs'!$D$54)</x:f>
        <x:v>3213.9003600000005</x:v>
      </x:c>
      <x:c r="M124" s="27" t="n">
        <x:f>E124*'Inputs'!$D$55</x:f>
        <x:v>150</x:v>
      </x:c>
      <x:c r="N124" s="27" t="n">
        <x:f>'Fleet'!$D$17</x:f>
        <x:v>14.5</x:v>
      </x:c>
      <x:c r="O124" s="27" t="n">
        <x:f>J124*'Inputs'!$D$56+'Inputs'!$D$57</x:f>
        <x:v>142.2192</x:v>
      </x:c>
      <x:c r="P124" s="27" t="n">
        <x:f>SUM(L124:O124)</x:f>
        <x:v>3520.6195600000005</x:v>
      </x:c>
      <x:c r="Q124" s="27" t="n">
        <x:f>J124-P124</x:f>
        <x:v>421.58043999999927</x:v>
      </x:c>
      <x:c r="R124" s="33" t="n">
        <x:f>Q124/J124</x:f>
        <x:v>0.10694039876211235</x:v>
      </x:c>
      <x:c r="S124" s="27" t="n">
        <x:f>E124*'Cost Build'!F9*$G$11</x:f>
        <x:v>2125.2</x:v>
      </x:c>
      <x:c r="T124" s="27" t="n">
        <x:f>J124+S124</x:f>
        <x:v>6067.4</x:v>
      </x:c>
    </x:row>
    <x:row r="125" ht="22" customHeight="1">
      <x:c r="A125" s="1"/>
      <x:c r="B125" s="1"/>
      <x:c r="C125" s="1" t="str">
        <x:v>BYO sub conditional</x:v>
      </x:c>
      <x:c r="D125" s="1" t="str">
        <x:v>Light</x:v>
      </x:c>
      <x:c r="E125" s="1" t="n">
        <x:v>3</x:v>
      </x:c>
      <x:c r="F125" s="27" t="n">
        <x:f>IF($H$12&gt;0,$H$12+MAX(0,E125-$I$12)*$J$12,MAX(E125,'Inputs'!$D$9)*$D$12)</x:f>
        <x:v>87</x:v>
      </x:c>
      <x:c r="G125" s="27" t="n">
        <x:f>E125*'Cost Build'!D9*(1-$G$12)*$F$12</x:f>
        <x:v>5.738040000000002</x:v>
      </x:c>
      <x:c r="H125" s="27" t="n">
        <x:f>IF($H$12&gt;0,20,MAX(E125,'Inputs'!$D$9)*$E$12)</x:f>
        <x:v>30</x:v>
      </x:c>
      <x:c r="I125" s="27" t="n">
        <x:f>MAX(0,G125-H125)+E125*'Cost Build'!D52</x:f>
        <x:v>0</x:v>
      </x:c>
      <x:c r="J125" s="27" t="n">
        <x:f>F125+I125</x:f>
        <x:v>87</x:v>
      </x:c>
      <x:c r="K125" s="27" t="n">
        <x:f>E125*('Cost Build'!D9*(1-$G$12)+'Cost Build'!D21+'Cost Build'!D33)</x:f>
        <x:v>9.54063624</x:v>
      </x:c>
      <x:c r="L125" s="27" t="n">
        <x:f>K125*(1+'Inputs'!$D$54)</x:f>
        <x:v>10.494699864000001</x:v>
      </x:c>
      <x:c r="M125" s="27" t="n">
        <x:f>E125*'Inputs'!$D$55</x:f>
        <x:v>4.5</x:v>
      </x:c>
      <x:c r="N125" s="27" t="n">
        <x:f>'Fleet'!$D$17</x:f>
        <x:v>14.5</x:v>
      </x:c>
      <x:c r="O125" s="27" t="n">
        <x:f>J125*'Inputs'!$D$56+'Inputs'!$D$57</x:f>
        <x:v>3.4319999999999995</x:v>
      </x:c>
      <x:c r="P125" s="27" t="n">
        <x:f>SUM(L125:O125)</x:f>
        <x:v>32.926699864</x:v>
      </x:c>
      <x:c r="Q125" s="27" t="n">
        <x:f>J125-P125</x:f>
        <x:v>54.073300136</x:v>
      </x:c>
      <x:c r="R125" s="33" t="n">
        <x:f>Q125/J125</x:f>
        <x:v>0.6215321854712643</x:v>
      </x:c>
      <x:c r="S125" s="27" t="n">
        <x:f>E125*$K$12</x:f>
        <x:v>60</x:v>
      </x:c>
      <x:c r="T125" s="27" t="n">
        <x:f>J125+S125</x:f>
        <x:v>147</x:v>
      </x:c>
    </x:row>
    <x:row r="126" ht="22" customHeight="1">
      <x:c r="A126" s="1"/>
      <x:c r="B126" s="1"/>
      <x:c r="C126" s="1" t="str">
        <x:v>BYO sub conditional</x:v>
      </x:c>
      <x:c r="D126" s="1" t="str">
        <x:v>Light</x:v>
      </x:c>
      <x:c r="E126" s="1" t="n">
        <x:v>5</x:v>
      </x:c>
      <x:c r="F126" s="27" t="n">
        <x:f>IF($H$12&gt;0,$H$12+MAX(0,E126-$I$12)*$J$12,MAX(E126,'Inputs'!$D$9)*$D$12)</x:f>
        <x:v>145</x:v>
      </x:c>
      <x:c r="G126" s="27" t="n">
        <x:f>E126*'Cost Build'!D9*(1-$G$12)*$F$12</x:f>
        <x:v>9.563400000000001</x:v>
      </x:c>
      <x:c r="H126" s="27" t="n">
        <x:f>IF($H$12&gt;0,20,MAX(E126,'Inputs'!$D$9)*$E$12)</x:f>
        <x:v>50</x:v>
      </x:c>
      <x:c r="I126" s="27" t="n">
        <x:f>MAX(0,G126-H126)+E126*'Cost Build'!D52</x:f>
        <x:v>0</x:v>
      </x:c>
      <x:c r="J126" s="27" t="n">
        <x:f>F126+I126</x:f>
        <x:v>145</x:v>
      </x:c>
      <x:c r="K126" s="27" t="n">
        <x:f>E126*('Cost Build'!D9*(1-$G$12)+'Cost Build'!D21+'Cost Build'!D33)</x:f>
        <x:v>15.9010604</x:v>
      </x:c>
      <x:c r="L126" s="27" t="n">
        <x:f>K126*(1+'Inputs'!$D$54)</x:f>
        <x:v>17.49116644</x:v>
      </x:c>
      <x:c r="M126" s="27" t="n">
        <x:f>E126*'Inputs'!$D$55</x:f>
        <x:v>7.5</x:v>
      </x:c>
      <x:c r="N126" s="27" t="n">
        <x:f>'Fleet'!$D$17</x:f>
        <x:v>14.5</x:v>
      </x:c>
      <x:c r="O126" s="27" t="n">
        <x:f>J126*'Inputs'!$D$56+'Inputs'!$D$57</x:f>
        <x:v>5.52</x:v>
      </x:c>
      <x:c r="P126" s="27" t="n">
        <x:f>SUM(L126:O126)</x:f>
        <x:v>45.01116644</x:v>
      </x:c>
      <x:c r="Q126" s="27" t="n">
        <x:f>J126-P126</x:f>
        <x:v>99.98883356</x:v>
      </x:c>
      <x:c r="R126" s="33" t="n">
        <x:f>Q126/J126</x:f>
        <x:v>0.6895781624827586</x:v>
      </x:c>
      <x:c r="S126" s="27" t="n">
        <x:f>E126*$K$12</x:f>
        <x:v>100</x:v>
      </x:c>
      <x:c r="T126" s="27" t="n">
        <x:f>J126+S126</x:f>
        <x:v>245</x:v>
      </x:c>
    </x:row>
    <x:row r="127" ht="22" customHeight="1">
      <x:c r="A127" s="1"/>
      <x:c r="B127" s="1"/>
      <x:c r="C127" s="1" t="str">
        <x:v>BYO sub conditional</x:v>
      </x:c>
      <x:c r="D127" s="1" t="str">
        <x:v>Light</x:v>
      </x:c>
      <x:c r="E127" s="1" t="n">
        <x:v>10</x:v>
      </x:c>
      <x:c r="F127" s="27" t="n">
        <x:f>IF($H$12&gt;0,$H$12+MAX(0,E127-$I$12)*$J$12,MAX(E127,'Inputs'!$D$9)*$D$12)</x:f>
        <x:v>290</x:v>
      </x:c>
      <x:c r="G127" s="27" t="n">
        <x:f>E127*'Cost Build'!D9*(1-$G$12)*$F$12</x:f>
        <x:v>19.126800000000003</x:v>
      </x:c>
      <x:c r="H127" s="27" t="n">
        <x:f>IF($H$12&gt;0,20,MAX(E127,'Inputs'!$D$9)*$E$12)</x:f>
        <x:v>100</x:v>
      </x:c>
      <x:c r="I127" s="27" t="n">
        <x:f>MAX(0,G127-H127)+E127*'Cost Build'!D52</x:f>
        <x:v>0</x:v>
      </x:c>
      <x:c r="J127" s="27" t="n">
        <x:f>F127+I127</x:f>
        <x:v>290</x:v>
      </x:c>
      <x:c r="K127" s="27" t="n">
        <x:f>E127*('Cost Build'!D9*(1-$G$12)+'Cost Build'!D21+'Cost Build'!D33)</x:f>
        <x:v>31.8021208</x:v>
      </x:c>
      <x:c r="L127" s="27" t="n">
        <x:f>K127*(1+'Inputs'!$D$54)</x:f>
        <x:v>34.98233288</x:v>
      </x:c>
      <x:c r="M127" s="27" t="n">
        <x:f>E127*'Inputs'!$D$55</x:f>
        <x:v>15</x:v>
      </x:c>
      <x:c r="N127" s="27" t="n">
        <x:f>'Fleet'!$D$17</x:f>
        <x:v>14.5</x:v>
      </x:c>
      <x:c r="O127" s="27" t="n">
        <x:f>J127*'Inputs'!$D$56+'Inputs'!$D$57</x:f>
        <x:v>10.74</x:v>
      </x:c>
      <x:c r="P127" s="27" t="n">
        <x:f>SUM(L127:O127)</x:f>
        <x:v>75.22233288</x:v>
      </x:c>
      <x:c r="Q127" s="27" t="n">
        <x:f>J127-P127</x:f>
        <x:v>214.77766712</x:v>
      </x:c>
      <x:c r="R127" s="33" t="n">
        <x:f>Q127/J127</x:f>
        <x:v>0.7406126452413793</x:v>
      </x:c>
      <x:c r="S127" s="27" t="n">
        <x:f>E127*$K$12</x:f>
        <x:v>200</x:v>
      </x:c>
      <x:c r="T127" s="27" t="n">
        <x:f>J127+S127</x:f>
        <x:v>490</x:v>
      </x:c>
    </x:row>
    <x:row r="128" ht="22" customHeight="1">
      <x:c r="A128" s="1"/>
      <x:c r="B128" s="1"/>
      <x:c r="C128" s="1" t="str">
        <x:v>BYO sub conditional</x:v>
      </x:c>
      <x:c r="D128" s="1" t="str">
        <x:v>Light</x:v>
      </x:c>
      <x:c r="E128" s="1" t="n">
        <x:v>20</x:v>
      </x:c>
      <x:c r="F128" s="27" t="n">
        <x:f>IF($H$12&gt;0,$H$12+MAX(0,E128-$I$12)*$J$12,MAX(E128,'Inputs'!$D$9)*$D$12)</x:f>
        <x:v>580</x:v>
      </x:c>
      <x:c r="G128" s="27" t="n">
        <x:f>E128*'Cost Build'!D9*(1-$G$12)*$F$12</x:f>
        <x:v>38.253600000000006</x:v>
      </x:c>
      <x:c r="H128" s="27" t="n">
        <x:f>IF($H$12&gt;0,20,MAX(E128,'Inputs'!$D$9)*$E$12)</x:f>
        <x:v>200</x:v>
      </x:c>
      <x:c r="I128" s="27" t="n">
        <x:f>MAX(0,G128-H128)+E128*'Cost Build'!D52</x:f>
        <x:v>0</x:v>
      </x:c>
      <x:c r="J128" s="27" t="n">
        <x:f>F128+I128</x:f>
        <x:v>580</x:v>
      </x:c>
      <x:c r="K128" s="27" t="n">
        <x:f>E128*('Cost Build'!D9*(1-$G$12)+'Cost Build'!D21+'Cost Build'!D33)</x:f>
        <x:v>63.6042416</x:v>
      </x:c>
      <x:c r="L128" s="27" t="n">
        <x:f>K128*(1+'Inputs'!$D$54)</x:f>
        <x:v>69.96466576</x:v>
      </x:c>
      <x:c r="M128" s="27" t="n">
        <x:f>E128*'Inputs'!$D$55</x:f>
        <x:v>30</x:v>
      </x:c>
      <x:c r="N128" s="27" t="n">
        <x:f>'Fleet'!$D$17</x:f>
        <x:v>14.5</x:v>
      </x:c>
      <x:c r="O128" s="27" t="n">
        <x:f>J128*'Inputs'!$D$56+'Inputs'!$D$57</x:f>
        <x:v>21.18</x:v>
      </x:c>
      <x:c r="P128" s="27" t="n">
        <x:f>SUM(L128:O128)</x:f>
        <x:v>135.64466576</x:v>
      </x:c>
      <x:c r="Q128" s="27" t="n">
        <x:f>J128-P128</x:f>
        <x:v>444.35533424</x:v>
      </x:c>
      <x:c r="R128" s="33" t="n">
        <x:f>Q128/J128</x:f>
        <x:v>0.7661298866206896</x:v>
      </x:c>
      <x:c r="S128" s="27" t="n">
        <x:f>E128*$K$12</x:f>
        <x:v>400</x:v>
      </x:c>
      <x:c r="T128" s="27" t="n">
        <x:f>J128+S128</x:f>
        <x:v>980</x:v>
      </x:c>
    </x:row>
    <x:row r="129" ht="22" customHeight="1">
      <x:c r="A129" s="1"/>
      <x:c r="B129" s="1"/>
      <x:c r="C129" s="1" t="str">
        <x:v>BYO sub conditional</x:v>
      </x:c>
      <x:c r="D129" s="1" t="str">
        <x:v>Light</x:v>
      </x:c>
      <x:c r="E129" s="1" t="n">
        <x:v>50</x:v>
      </x:c>
      <x:c r="F129" s="27" t="n">
        <x:f>IF($H$12&gt;0,$H$12+MAX(0,E129-$I$12)*$J$12,MAX(E129,'Inputs'!$D$9)*$D$12)</x:f>
        <x:v>1450</x:v>
      </x:c>
      <x:c r="G129" s="27" t="n">
        <x:f>E129*'Cost Build'!D9*(1-$G$12)*$F$12</x:f>
        <x:v>95.63400000000001</x:v>
      </x:c>
      <x:c r="H129" s="27" t="n">
        <x:f>IF($H$12&gt;0,20,MAX(E129,'Inputs'!$D$9)*$E$12)</x:f>
        <x:v>500</x:v>
      </x:c>
      <x:c r="I129" s="27" t="n">
        <x:f>MAX(0,G129-H129)+E129*'Cost Build'!D52</x:f>
        <x:v>0</x:v>
      </x:c>
      <x:c r="J129" s="27" t="n">
        <x:f>F129+I129</x:f>
        <x:v>1450</x:v>
      </x:c>
      <x:c r="K129" s="27" t="n">
        <x:f>E129*('Cost Build'!D9*(1-$G$12)+'Cost Build'!D21+'Cost Build'!D33)</x:f>
        <x:v>159.010604</x:v>
      </x:c>
      <x:c r="L129" s="27" t="n">
        <x:f>K129*(1+'Inputs'!$D$54)</x:f>
        <x:v>174.9116644</x:v>
      </x:c>
      <x:c r="M129" s="27" t="n">
        <x:f>E129*'Inputs'!$D$55</x:f>
        <x:v>75</x:v>
      </x:c>
      <x:c r="N129" s="27" t="n">
        <x:f>'Fleet'!$D$17</x:f>
        <x:v>14.5</x:v>
      </x:c>
      <x:c r="O129" s="27" t="n">
        <x:f>J129*'Inputs'!$D$56+'Inputs'!$D$57</x:f>
        <x:v>52.49999999999999</x:v>
      </x:c>
      <x:c r="P129" s="27" t="n">
        <x:f>SUM(L129:O129)</x:f>
        <x:v>316.9116644</x:v>
      </x:c>
      <x:c r="Q129" s="27" t="n">
        <x:f>J129-P129</x:f>
        <x:v>1133.0883356</x:v>
      </x:c>
      <x:c r="R129" s="33" t="n">
        <x:f>Q129/J129</x:f>
        <x:v>0.7814402314482758</x:v>
      </x:c>
      <x:c r="S129" s="27" t="n">
        <x:f>E129*$K$12</x:f>
        <x:v>1000</x:v>
      </x:c>
      <x:c r="T129" s="27" t="n">
        <x:f>J129+S129</x:f>
        <x:v>2450</x:v>
      </x:c>
    </x:row>
    <x:row r="130" ht="22" customHeight="1">
      <x:c r="A130" s="1"/>
      <x:c r="B130" s="1"/>
      <x:c r="C130" s="1" t="str">
        <x:v>BYO sub conditional</x:v>
      </x:c>
      <x:c r="D130" s="1" t="str">
        <x:v>Light</x:v>
      </x:c>
      <x:c r="E130" s="1" t="n">
        <x:v>100</x:v>
      </x:c>
      <x:c r="F130" s="27" t="n">
        <x:f>IF($H$12&gt;0,$H$12+MAX(0,E130-$I$12)*$J$12,MAX(E130,'Inputs'!$D$9)*$D$12)</x:f>
        <x:v>2900</x:v>
      </x:c>
      <x:c r="G130" s="27" t="n">
        <x:f>E130*'Cost Build'!D9*(1-$G$12)*$F$12</x:f>
        <x:v>191.26800000000003</x:v>
      </x:c>
      <x:c r="H130" s="27" t="n">
        <x:f>IF($H$12&gt;0,20,MAX(E130,'Inputs'!$D$9)*$E$12)</x:f>
        <x:v>1000</x:v>
      </x:c>
      <x:c r="I130" s="27" t="n">
        <x:f>MAX(0,G130-H130)+E130*'Cost Build'!D52</x:f>
        <x:v>0</x:v>
      </x:c>
      <x:c r="J130" s="27" t="n">
        <x:f>F130+I130</x:f>
        <x:v>2900</x:v>
      </x:c>
      <x:c r="K130" s="27" t="n">
        <x:f>E130*('Cost Build'!D9*(1-$G$12)+'Cost Build'!D21+'Cost Build'!D33)</x:f>
        <x:v>318.021208</x:v>
      </x:c>
      <x:c r="L130" s="27" t="n">
        <x:f>K130*(1+'Inputs'!$D$54)</x:f>
        <x:v>349.8233288</x:v>
      </x:c>
      <x:c r="M130" s="27" t="n">
        <x:f>E130*'Inputs'!$D$55</x:f>
        <x:v>150</x:v>
      </x:c>
      <x:c r="N130" s="27" t="n">
        <x:f>'Fleet'!$D$17</x:f>
        <x:v>14.5</x:v>
      </x:c>
      <x:c r="O130" s="27" t="n">
        <x:f>J130*'Inputs'!$D$56+'Inputs'!$D$57</x:f>
        <x:v>104.69999999999999</x:v>
      </x:c>
      <x:c r="P130" s="27" t="n">
        <x:f>SUM(L130:O130)</x:f>
        <x:v>619.0233288</x:v>
      </x:c>
      <x:c r="Q130" s="27" t="n">
        <x:f>J130-P130</x:f>
        <x:v>2280.9766712</x:v>
      </x:c>
      <x:c r="R130" s="33" t="n">
        <x:f>Q130/J130</x:f>
        <x:v>0.786543679724138</x:v>
      </x:c>
      <x:c r="S130" s="27" t="n">
        <x:f>E130*$K$12</x:f>
        <x:v>2000</x:v>
      </x:c>
      <x:c r="T130" s="27" t="n">
        <x:f>J130+S130</x:f>
        <x:v>4900</x:v>
      </x:c>
    </x:row>
    <x:row r="131" ht="22" customHeight="1">
      <x:c r="A131" s="1"/>
      <x:c r="B131" s="1"/>
      <x:c r="C131" s="1" t="str">
        <x:v>BYO sub conditional</x:v>
      </x:c>
      <x:c r="D131" s="1" t="str">
        <x:v>Typical</x:v>
      </x:c>
      <x:c r="E131" s="1" t="n">
        <x:v>3</x:v>
      </x:c>
      <x:c r="F131" s="27" t="n">
        <x:f>IF($H$12&gt;0,$H$12+MAX(0,E131-$I$12)*$J$12,MAX(E131,'Inputs'!$D$9)*$D$12)</x:f>
        <x:v>87</x:v>
      </x:c>
      <x:c r="G131" s="27" t="n">
        <x:f>E131*'Cost Build'!E9*(1-$G$12)*$F$12</x:f>
        <x:v>18.34812</x:v>
      </x:c>
      <x:c r="H131" s="27" t="n">
        <x:f>IF($H$12&gt;0,20,MAX(E131,'Inputs'!$D$9)*$E$12)</x:f>
        <x:v>30</x:v>
      </x:c>
      <x:c r="I131" s="27" t="n">
        <x:f>MAX(0,G131-H131)+E131*'Cost Build'!E52</x:f>
        <x:v>0</x:v>
      </x:c>
      <x:c r="J131" s="27" t="n">
        <x:f>F131+I131</x:f>
        <x:v>87</x:v>
      </x:c>
      <x:c r="K131" s="27" t="n">
        <x:f>E131*('Cost Build'!E9*(1-$G$12)+'Cost Build'!E21+'Cost Build'!E33)</x:f>
        <x:v>30.8220462</x:v>
      </x:c>
      <x:c r="L131" s="27" t="n">
        <x:f>K131*(1+'Inputs'!$D$54)</x:f>
        <x:v>33.90425082</x:v>
      </x:c>
      <x:c r="M131" s="27" t="n">
        <x:f>E131*'Inputs'!$D$55</x:f>
        <x:v>4.5</x:v>
      </x:c>
      <x:c r="N131" s="27" t="n">
        <x:f>'Fleet'!$D$17</x:f>
        <x:v>14.5</x:v>
      </x:c>
      <x:c r="O131" s="27" t="n">
        <x:f>J131*'Inputs'!$D$56+'Inputs'!$D$57</x:f>
        <x:v>3.4319999999999995</x:v>
      </x:c>
      <x:c r="P131" s="27" t="n">
        <x:f>SUM(L131:O131)</x:f>
        <x:v>56.336250820000004</x:v>
      </x:c>
      <x:c r="Q131" s="27" t="n">
        <x:f>J131-P131</x:f>
        <x:v>30.663749179999996</x:v>
      </x:c>
      <x:c r="R131" s="33" t="n">
        <x:f>Q131/J131</x:f>
        <x:v>0.35245688712643675</x:v>
      </x:c>
      <x:c r="S131" s="27" t="n">
        <x:f>E131*$K$12</x:f>
        <x:v>60</x:v>
      </x:c>
      <x:c r="T131" s="27" t="n">
        <x:f>J131+S131</x:f>
        <x:v>147</x:v>
      </x:c>
    </x:row>
    <x:row r="132" ht="22" customHeight="1">
      <x:c r="A132" s="1"/>
      <x:c r="B132" s="1"/>
      <x:c r="C132" s="1" t="str">
        <x:v>BYO sub conditional</x:v>
      </x:c>
      <x:c r="D132" s="1" t="str">
        <x:v>Typical</x:v>
      </x:c>
      <x:c r="E132" s="1" t="n">
        <x:v>5</x:v>
      </x:c>
      <x:c r="F132" s="27" t="n">
        <x:f>IF($H$12&gt;0,$H$12+MAX(0,E132-$I$12)*$J$12,MAX(E132,'Inputs'!$D$9)*$D$12)</x:f>
        <x:v>145</x:v>
      </x:c>
      <x:c r="G132" s="27" t="n">
        <x:f>E132*'Cost Build'!E9*(1-$G$12)*$F$12</x:f>
        <x:v>30.580199999999998</x:v>
      </x:c>
      <x:c r="H132" s="27" t="n">
        <x:f>IF($H$12&gt;0,20,MAX(E132,'Inputs'!$D$9)*$E$12)</x:f>
        <x:v>50</x:v>
      </x:c>
      <x:c r="I132" s="27" t="n">
        <x:f>MAX(0,G132-H132)+E132*'Cost Build'!E52</x:f>
        <x:v>0</x:v>
      </x:c>
      <x:c r="J132" s="27" t="n">
        <x:f>F132+I132</x:f>
        <x:v>145</x:v>
      </x:c>
      <x:c r="K132" s="27" t="n">
        <x:f>E132*('Cost Build'!E9*(1-$G$12)+'Cost Build'!E21+'Cost Build'!E33)</x:f>
        <x:v>51.370076999999995</x:v>
      </x:c>
      <x:c r="L132" s="27" t="n">
        <x:f>K132*(1+'Inputs'!$D$54)</x:f>
        <x:v>56.5070847</x:v>
      </x:c>
      <x:c r="M132" s="27" t="n">
        <x:f>E132*'Inputs'!$D$55</x:f>
        <x:v>7.5</x:v>
      </x:c>
      <x:c r="N132" s="27" t="n">
        <x:f>'Fleet'!$D$17</x:f>
        <x:v>14.5</x:v>
      </x:c>
      <x:c r="O132" s="27" t="n">
        <x:f>J132*'Inputs'!$D$56+'Inputs'!$D$57</x:f>
        <x:v>5.52</x:v>
      </x:c>
      <x:c r="P132" s="27" t="n">
        <x:f>SUM(L132:O132)</x:f>
        <x:v>84.0270847</x:v>
      </x:c>
      <x:c r="Q132" s="27" t="n">
        <x:f>J132-P132</x:f>
        <x:v>60.9729153</x:v>
      </x:c>
      <x:c r="R132" s="33" t="n">
        <x:f>Q132/J132</x:f>
        <x:v>0.42050286413793103</x:v>
      </x:c>
      <x:c r="S132" s="27" t="n">
        <x:f>E132*$K$12</x:f>
        <x:v>100</x:v>
      </x:c>
      <x:c r="T132" s="27" t="n">
        <x:f>J132+S132</x:f>
        <x:v>245</x:v>
      </x:c>
    </x:row>
    <x:row r="133" ht="22" customHeight="1">
      <x:c r="A133" s="1"/>
      <x:c r="B133" s="1"/>
      <x:c r="C133" s="1" t="str">
        <x:v>BYO sub conditional</x:v>
      </x:c>
      <x:c r="D133" s="1" t="str">
        <x:v>Typical</x:v>
      </x:c>
      <x:c r="E133" s="1" t="n">
        <x:v>10</x:v>
      </x:c>
      <x:c r="F133" s="27" t="n">
        <x:f>IF($H$12&gt;0,$H$12+MAX(0,E133-$I$12)*$J$12,MAX(E133,'Inputs'!$D$9)*$D$12)</x:f>
        <x:v>290</x:v>
      </x:c>
      <x:c r="G133" s="27" t="n">
        <x:f>E133*'Cost Build'!E9*(1-$G$12)*$F$12</x:f>
        <x:v>61.160399999999996</x:v>
      </x:c>
      <x:c r="H133" s="27" t="n">
        <x:f>IF($H$12&gt;0,20,MAX(E133,'Inputs'!$D$9)*$E$12)</x:f>
        <x:v>100</x:v>
      </x:c>
      <x:c r="I133" s="27" t="n">
        <x:f>MAX(0,G133-H133)+E133*'Cost Build'!E52</x:f>
        <x:v>0</x:v>
      </x:c>
      <x:c r="J133" s="27" t="n">
        <x:f>F133+I133</x:f>
        <x:v>290</x:v>
      </x:c>
      <x:c r="K133" s="27" t="n">
        <x:f>E133*('Cost Build'!E9*(1-$G$12)+'Cost Build'!E21+'Cost Build'!E33)</x:f>
        <x:v>102.74015399999999</x:v>
      </x:c>
      <x:c r="L133" s="27" t="n">
        <x:f>K133*(1+'Inputs'!$D$54)</x:f>
        <x:v>113.0141694</x:v>
      </x:c>
      <x:c r="M133" s="27" t="n">
        <x:f>E133*'Inputs'!$D$55</x:f>
        <x:v>15</x:v>
      </x:c>
      <x:c r="N133" s="27" t="n">
        <x:f>'Fleet'!$D$17</x:f>
        <x:v>14.5</x:v>
      </x:c>
      <x:c r="O133" s="27" t="n">
        <x:f>J133*'Inputs'!$D$56+'Inputs'!$D$57</x:f>
        <x:v>10.74</x:v>
      </x:c>
      <x:c r="P133" s="27" t="n">
        <x:f>SUM(L133:O133)</x:f>
        <x:v>153.25416940000002</x:v>
      </x:c>
      <x:c r="Q133" s="27" t="n">
        <x:f>J133-P133</x:f>
        <x:v>136.74583059999998</x:v>
      </x:c>
      <x:c r="R133" s="33" t="n">
        <x:f>Q133/J133</x:f>
        <x:v>0.47153734689655163</x:v>
      </x:c>
      <x:c r="S133" s="27" t="n">
        <x:f>E133*$K$12</x:f>
        <x:v>200</x:v>
      </x:c>
      <x:c r="T133" s="27" t="n">
        <x:f>J133+S133</x:f>
        <x:v>490</x:v>
      </x:c>
    </x:row>
    <x:row r="134" ht="22" customHeight="1">
      <x:c r="A134" s="1"/>
      <x:c r="B134" s="1"/>
      <x:c r="C134" s="1" t="str">
        <x:v>BYO sub conditional</x:v>
      </x:c>
      <x:c r="D134" s="1" t="str">
        <x:v>Typical</x:v>
      </x:c>
      <x:c r="E134" s="1" t="n">
        <x:v>20</x:v>
      </x:c>
      <x:c r="F134" s="27" t="n">
        <x:f>IF($H$12&gt;0,$H$12+MAX(0,E134-$I$12)*$J$12,MAX(E134,'Inputs'!$D$9)*$D$12)</x:f>
        <x:v>580</x:v>
      </x:c>
      <x:c r="G134" s="27" t="n">
        <x:f>E134*'Cost Build'!E9*(1-$G$12)*$F$12</x:f>
        <x:v>122.32079999999999</x:v>
      </x:c>
      <x:c r="H134" s="27" t="n">
        <x:f>IF($H$12&gt;0,20,MAX(E134,'Inputs'!$D$9)*$E$12)</x:f>
        <x:v>200</x:v>
      </x:c>
      <x:c r="I134" s="27" t="n">
        <x:f>MAX(0,G134-H134)+E134*'Cost Build'!E52</x:f>
        <x:v>0</x:v>
      </x:c>
      <x:c r="J134" s="27" t="n">
        <x:f>F134+I134</x:f>
        <x:v>580</x:v>
      </x:c>
      <x:c r="K134" s="27" t="n">
        <x:f>E134*('Cost Build'!E9*(1-$G$12)+'Cost Build'!E21+'Cost Build'!E33)</x:f>
        <x:v>205.48030799999998</x:v>
      </x:c>
      <x:c r="L134" s="27" t="n">
        <x:f>K134*(1+'Inputs'!$D$54)</x:f>
        <x:v>226.0283388</x:v>
      </x:c>
      <x:c r="M134" s="27" t="n">
        <x:f>E134*'Inputs'!$D$55</x:f>
        <x:v>30</x:v>
      </x:c>
      <x:c r="N134" s="27" t="n">
        <x:f>'Fleet'!$D$17</x:f>
        <x:v>14.5</x:v>
      </x:c>
      <x:c r="O134" s="27" t="n">
        <x:f>J134*'Inputs'!$D$56+'Inputs'!$D$57</x:f>
        <x:v>21.18</x:v>
      </x:c>
      <x:c r="P134" s="27" t="n">
        <x:f>SUM(L134:O134)</x:f>
        <x:v>291.70833880000004</x:v>
      </x:c>
      <x:c r="Q134" s="27" t="n">
        <x:f>J134-P134</x:f>
        <x:v>288.29166119999996</x:v>
      </x:c>
      <x:c r="R134" s="33" t="n">
        <x:f>Q134/J134</x:f>
        <x:v>0.497054588275862</x:v>
      </x:c>
      <x:c r="S134" s="27" t="n">
        <x:f>E134*$K$12</x:f>
        <x:v>400</x:v>
      </x:c>
      <x:c r="T134" s="27" t="n">
        <x:f>J134+S134</x:f>
        <x:v>980</x:v>
      </x:c>
    </x:row>
    <x:row r="135" ht="22" customHeight="1">
      <x:c r="A135" s="1"/>
      <x:c r="B135" s="1"/>
      <x:c r="C135" s="1" t="str">
        <x:v>BYO sub conditional</x:v>
      </x:c>
      <x:c r="D135" s="1" t="str">
        <x:v>Typical</x:v>
      </x:c>
      <x:c r="E135" s="1" t="n">
        <x:v>50</x:v>
      </x:c>
      <x:c r="F135" s="27" t="n">
        <x:f>IF($H$12&gt;0,$H$12+MAX(0,E135-$I$12)*$J$12,MAX(E135,'Inputs'!$D$9)*$D$12)</x:f>
        <x:v>1450</x:v>
      </x:c>
      <x:c r="G135" s="27" t="n">
        <x:f>E135*'Cost Build'!E9*(1-$G$12)*$F$12</x:f>
        <x:v>305.802</x:v>
      </x:c>
      <x:c r="H135" s="27" t="n">
        <x:f>IF($H$12&gt;0,20,MAX(E135,'Inputs'!$D$9)*$E$12)</x:f>
        <x:v>500</x:v>
      </x:c>
      <x:c r="I135" s="27" t="n">
        <x:f>MAX(0,G135-H135)+E135*'Cost Build'!E52</x:f>
        <x:v>0</x:v>
      </x:c>
      <x:c r="J135" s="27" t="n">
        <x:f>F135+I135</x:f>
        <x:v>1450</x:v>
      </x:c>
      <x:c r="K135" s="27" t="n">
        <x:f>E135*('Cost Build'!E9*(1-$G$12)+'Cost Build'!E21+'Cost Build'!E33)</x:f>
        <x:v>513.70077</x:v>
      </x:c>
      <x:c r="L135" s="27" t="n">
        <x:f>K135*(1+'Inputs'!$D$54)</x:f>
        <x:v>565.0708470000001</x:v>
      </x:c>
      <x:c r="M135" s="27" t="n">
        <x:f>E135*'Inputs'!$D$55</x:f>
        <x:v>75</x:v>
      </x:c>
      <x:c r="N135" s="27" t="n">
        <x:f>'Fleet'!$D$17</x:f>
        <x:v>14.5</x:v>
      </x:c>
      <x:c r="O135" s="27" t="n">
        <x:f>J135*'Inputs'!$D$56+'Inputs'!$D$57</x:f>
        <x:v>52.49999999999999</x:v>
      </x:c>
      <x:c r="P135" s="27" t="n">
        <x:f>SUM(L135:O135)</x:f>
        <x:v>707.0708470000001</x:v>
      </x:c>
      <x:c r="Q135" s="27" t="n">
        <x:f>J135-P135</x:f>
        <x:v>742.9291529999999</x:v>
      </x:c>
      <x:c r="R135" s="33" t="n">
        <x:f>Q135/J135</x:f>
        <x:v>0.5123649331034482</x:v>
      </x:c>
      <x:c r="S135" s="27" t="n">
        <x:f>E135*$K$12</x:f>
        <x:v>1000</x:v>
      </x:c>
      <x:c r="T135" s="27" t="n">
        <x:f>J135+S135</x:f>
        <x:v>2450</x:v>
      </x:c>
    </x:row>
    <x:row r="136" ht="22" customHeight="1">
      <x:c r="A136" s="1"/>
      <x:c r="B136" s="1"/>
      <x:c r="C136" s="1" t="str">
        <x:v>BYO sub conditional</x:v>
      </x:c>
      <x:c r="D136" s="1" t="str">
        <x:v>Typical</x:v>
      </x:c>
      <x:c r="E136" s="1" t="n">
        <x:v>100</x:v>
      </x:c>
      <x:c r="F136" s="27" t="n">
        <x:f>IF($H$12&gt;0,$H$12+MAX(0,E136-$I$12)*$J$12,MAX(E136,'Inputs'!$D$9)*$D$12)</x:f>
        <x:v>2900</x:v>
      </x:c>
      <x:c r="G136" s="27" t="n">
        <x:f>E136*'Cost Build'!E9*(1-$G$12)*$F$12</x:f>
        <x:v>611.604</x:v>
      </x:c>
      <x:c r="H136" s="27" t="n">
        <x:f>IF($H$12&gt;0,20,MAX(E136,'Inputs'!$D$9)*$E$12)</x:f>
        <x:v>1000</x:v>
      </x:c>
      <x:c r="I136" s="27" t="n">
        <x:f>MAX(0,G136-H136)+E136*'Cost Build'!E52</x:f>
        <x:v>0</x:v>
      </x:c>
      <x:c r="J136" s="27" t="n">
        <x:f>F136+I136</x:f>
        <x:v>2900</x:v>
      </x:c>
      <x:c r="K136" s="27" t="n">
        <x:f>E136*('Cost Build'!E9*(1-$G$12)+'Cost Build'!E21+'Cost Build'!E33)</x:f>
        <x:v>1027.40154</x:v>
      </x:c>
      <x:c r="L136" s="27" t="n">
        <x:f>K136*(1+'Inputs'!$D$54)</x:f>
        <x:v>1130.1416940000001</x:v>
      </x:c>
      <x:c r="M136" s="27" t="n">
        <x:f>E136*'Inputs'!$D$55</x:f>
        <x:v>150</x:v>
      </x:c>
      <x:c r="N136" s="27" t="n">
        <x:f>'Fleet'!$D$17</x:f>
        <x:v>14.5</x:v>
      </x:c>
      <x:c r="O136" s="27" t="n">
        <x:f>J136*'Inputs'!$D$56+'Inputs'!$D$57</x:f>
        <x:v>104.69999999999999</x:v>
      </x:c>
      <x:c r="P136" s="27" t="n">
        <x:f>SUM(L136:O136)</x:f>
        <x:v>1399.3416940000002</x:v>
      </x:c>
      <x:c r="Q136" s="27" t="n">
        <x:f>J136-P136</x:f>
        <x:v>1500.6583059999998</x:v>
      </x:c>
      <x:c r="R136" s="33" t="n">
        <x:f>Q136/J136</x:f>
        <x:v>0.5174683813793103</x:v>
      </x:c>
      <x:c r="S136" s="27" t="n">
        <x:f>E136*$K$12</x:f>
        <x:v>2000</x:v>
      </x:c>
      <x:c r="T136" s="27" t="n">
        <x:f>J136+S136</x:f>
        <x:v>4900</x:v>
      </x:c>
    </x:row>
    <x:row r="137" ht="22" customHeight="1">
      <x:c r="A137" s="1"/>
      <x:c r="B137" s="1"/>
      <x:c r="C137" s="1" t="str">
        <x:v>BYO sub conditional</x:v>
      </x:c>
      <x:c r="D137" s="1" t="str">
        <x:v>Heavy</x:v>
      </x:c>
      <x:c r="E137" s="1" t="n">
        <x:v>3</x:v>
      </x:c>
      <x:c r="F137" s="27" t="n">
        <x:f>IF($H$12&gt;0,$H$12+MAX(0,E137-$I$12)*$J$12,MAX(E137,'Inputs'!$D$9)*$D$12)</x:f>
        <x:v>87</x:v>
      </x:c>
      <x:c r="G137" s="27" t="n">
        <x:f>E137*'Cost Build'!F9*(1-$G$12)*$F$12</x:f>
        <x:v>76.50720000000001</x:v>
      </x:c>
      <x:c r="H137" s="27" t="n">
        <x:f>IF($H$12&gt;0,20,MAX(E137,'Inputs'!$D$9)*$E$12)</x:f>
        <x:v>30</x:v>
      </x:c>
      <x:c r="I137" s="27" t="n">
        <x:f>MAX(0,G137-H137)+E137*'Cost Build'!F52</x:f>
        <x:v>77.77320000000002</x:v>
      </x:c>
      <x:c r="J137" s="27" t="n">
        <x:f>F137+I137</x:f>
        <x:v>164.77320000000003</x:v>
      </x:c>
      <x:c r="K137" s="27" t="n">
        <x:f>E137*('Cost Build'!F9*(1-$G$12)+'Cost Build'!F21+'Cost Build'!F33)</x:f>
        <x:v>113.15422800000002</x:v>
      </x:c>
      <x:c r="L137" s="27" t="n">
        <x:f>K137*(1+'Inputs'!$D$54)</x:f>
        <x:v>124.46965080000003</x:v>
      </x:c>
      <x:c r="M137" s="27" t="n">
        <x:f>E137*'Inputs'!$D$55</x:f>
        <x:v>4.5</x:v>
      </x:c>
      <x:c r="N137" s="27" t="n">
        <x:f>'Fleet'!$D$17</x:f>
        <x:v>14.5</x:v>
      </x:c>
      <x:c r="O137" s="27" t="n">
        <x:f>J137*'Inputs'!$D$56+'Inputs'!$D$57</x:f>
        <x:v>6.231835200000001</x:v>
      </x:c>
      <x:c r="P137" s="27" t="n">
        <x:f>SUM(L137:O137)</x:f>
        <x:v>149.70148600000002</x:v>
      </x:c>
      <x:c r="Q137" s="27" t="n">
        <x:f>J137-P137</x:f>
        <x:v>15.071714000000014</x:v>
      </x:c>
      <x:c r="R137" s="33" t="n">
        <x:f>Q137/J137</x:f>
        <x:v>0.09146945012902591</x:v>
      </x:c>
      <x:c r="S137" s="27" t="n">
        <x:f>E137*$K$12</x:f>
        <x:v>60</x:v>
      </x:c>
      <x:c r="T137" s="27" t="n">
        <x:f>J137+S137</x:f>
        <x:v>224.77320000000003</x:v>
      </x:c>
    </x:row>
    <x:row r="138" ht="22" customHeight="1">
      <x:c r="A138" s="1"/>
      <x:c r="B138" s="1"/>
      <x:c r="C138" s="1" t="str">
        <x:v>BYO sub conditional</x:v>
      </x:c>
      <x:c r="D138" s="1" t="str">
        <x:v>Heavy</x:v>
      </x:c>
      <x:c r="E138" s="1" t="n">
        <x:v>5</x:v>
      </x:c>
      <x:c r="F138" s="27" t="n">
        <x:f>IF($H$12&gt;0,$H$12+MAX(0,E138-$I$12)*$J$12,MAX(E138,'Inputs'!$D$9)*$D$12)</x:f>
        <x:v>145</x:v>
      </x:c>
      <x:c r="G138" s="27" t="n">
        <x:f>E138*'Cost Build'!F9*(1-$G$12)*$F$12</x:f>
        <x:v>127.512</x:v>
      </x:c>
      <x:c r="H138" s="27" t="n">
        <x:f>IF($H$12&gt;0,20,MAX(E138,'Inputs'!$D$9)*$E$12)</x:f>
        <x:v>50</x:v>
      </x:c>
      <x:c r="I138" s="27" t="n">
        <x:f>MAX(0,G138-H138)+E138*'Cost Build'!F52</x:f>
        <x:v>129.622</x:v>
      </x:c>
      <x:c r="J138" s="27" t="n">
        <x:f>F138+I138</x:f>
        <x:v>274.622</x:v>
      </x:c>
      <x:c r="K138" s="27" t="n">
        <x:f>E138*('Cost Build'!F9*(1-$G$12)+'Cost Build'!F21+'Cost Build'!F33)</x:f>
        <x:v>188.59038</x:v>
      </x:c>
      <x:c r="L138" s="27" t="n">
        <x:f>K138*(1+'Inputs'!$D$54)</x:f>
        <x:v>207.44941800000004</x:v>
      </x:c>
      <x:c r="M138" s="27" t="n">
        <x:f>E138*'Inputs'!$D$55</x:f>
        <x:v>7.5</x:v>
      </x:c>
      <x:c r="N138" s="27" t="n">
        <x:f>'Fleet'!$D$17</x:f>
        <x:v>14.5</x:v>
      </x:c>
      <x:c r="O138" s="27" t="n">
        <x:f>J138*'Inputs'!$D$56+'Inputs'!$D$57</x:f>
        <x:v>10.186392</x:v>
      </x:c>
      <x:c r="P138" s="27" t="n">
        <x:f>SUM(L138:O138)</x:f>
        <x:v>239.63581000000005</x:v>
      </x:c>
      <x:c r="Q138" s="27" t="n">
        <x:f>J138-P138</x:f>
        <x:v>34.986189999999965</x:v>
      </x:c>
      <x:c r="R138" s="33" t="n">
        <x:f>Q138/J138</x:f>
        <x:v>0.12739762291440584</x:v>
      </x:c>
      <x:c r="S138" s="27" t="n">
        <x:f>E138*$K$12</x:f>
        <x:v>100</x:v>
      </x:c>
      <x:c r="T138" s="27" t="n">
        <x:f>J138+S138</x:f>
        <x:v>374.622</x:v>
      </x:c>
    </x:row>
    <x:row r="139" ht="22" customHeight="1">
      <x:c r="A139" s="1"/>
      <x:c r="B139" s="1"/>
      <x:c r="C139" s="1" t="str">
        <x:v>BYO sub conditional</x:v>
      </x:c>
      <x:c r="D139" s="1" t="str">
        <x:v>Heavy</x:v>
      </x:c>
      <x:c r="E139" s="1" t="n">
        <x:v>10</x:v>
      </x:c>
      <x:c r="F139" s="27" t="n">
        <x:f>IF($H$12&gt;0,$H$12+MAX(0,E139-$I$12)*$J$12,MAX(E139,'Inputs'!$D$9)*$D$12)</x:f>
        <x:v>290</x:v>
      </x:c>
      <x:c r="G139" s="27" t="n">
        <x:f>E139*'Cost Build'!F9*(1-$G$12)*$F$12</x:f>
        <x:v>255.024</x:v>
      </x:c>
      <x:c r="H139" s="27" t="n">
        <x:f>IF($H$12&gt;0,20,MAX(E139,'Inputs'!$D$9)*$E$12)</x:f>
        <x:v>100</x:v>
      </x:c>
      <x:c r="I139" s="27" t="n">
        <x:f>MAX(0,G139-H139)+E139*'Cost Build'!F52</x:f>
        <x:v>259.244</x:v>
      </x:c>
      <x:c r="J139" s="27" t="n">
        <x:f>F139+I139</x:f>
        <x:v>549.244</x:v>
      </x:c>
      <x:c r="K139" s="27" t="n">
        <x:f>E139*('Cost Build'!F9*(1-$G$12)+'Cost Build'!F21+'Cost Build'!F33)</x:f>
        <x:v>377.18076</x:v>
      </x:c>
      <x:c r="L139" s="27" t="n">
        <x:f>K139*(1+'Inputs'!$D$54)</x:f>
        <x:v>414.8988360000001</x:v>
      </x:c>
      <x:c r="M139" s="27" t="n">
        <x:f>E139*'Inputs'!$D$55</x:f>
        <x:v>15</x:v>
      </x:c>
      <x:c r="N139" s="27" t="n">
        <x:f>'Fleet'!$D$17</x:f>
        <x:v>14.5</x:v>
      </x:c>
      <x:c r="O139" s="27" t="n">
        <x:f>J139*'Inputs'!$D$56+'Inputs'!$D$57</x:f>
        <x:v>20.072784</x:v>
      </x:c>
      <x:c r="P139" s="27" t="n">
        <x:f>SUM(L139:O139)</x:f>
        <x:v>464.4716200000001</x:v>
      </x:c>
      <x:c r="Q139" s="27" t="n">
        <x:f>J139-P139</x:f>
        <x:v>84.77237999999994</x:v>
      </x:c>
      <x:c r="R139" s="33" t="n">
        <x:f>Q139/J139</x:f>
        <x:v>0.15434375250344098</x:v>
      </x:c>
      <x:c r="S139" s="27" t="n">
        <x:f>E139*$K$12</x:f>
        <x:v>200</x:v>
      </x:c>
      <x:c r="T139" s="27" t="n">
        <x:f>J139+S139</x:f>
        <x:v>749.244</x:v>
      </x:c>
    </x:row>
    <x:row r="140" ht="22" customHeight="1">
      <x:c r="A140" s="1"/>
      <x:c r="B140" s="1"/>
      <x:c r="C140" s="1" t="str">
        <x:v>BYO sub conditional</x:v>
      </x:c>
      <x:c r="D140" s="1" t="str">
        <x:v>Heavy</x:v>
      </x:c>
      <x:c r="E140" s="1" t="n">
        <x:v>20</x:v>
      </x:c>
      <x:c r="F140" s="27" t="n">
        <x:f>IF($H$12&gt;0,$H$12+MAX(0,E140-$I$12)*$J$12,MAX(E140,'Inputs'!$D$9)*$D$12)</x:f>
        <x:v>580</x:v>
      </x:c>
      <x:c r="G140" s="27" t="n">
        <x:f>E140*'Cost Build'!F9*(1-$G$12)*$F$12</x:f>
        <x:v>510.048</x:v>
      </x:c>
      <x:c r="H140" s="27" t="n">
        <x:f>IF($H$12&gt;0,20,MAX(E140,'Inputs'!$D$9)*$E$12)</x:f>
        <x:v>200</x:v>
      </x:c>
      <x:c r="I140" s="27" t="n">
        <x:f>MAX(0,G140-H140)+E140*'Cost Build'!F52</x:f>
        <x:v>518.488</x:v>
      </x:c>
      <x:c r="J140" s="27" t="n">
        <x:f>F140+I140</x:f>
        <x:v>1098.488</x:v>
      </x:c>
      <x:c r="K140" s="27" t="n">
        <x:f>E140*('Cost Build'!F9*(1-$G$12)+'Cost Build'!F21+'Cost Build'!F33)</x:f>
        <x:v>754.36152</x:v>
      </x:c>
      <x:c r="L140" s="27" t="n">
        <x:f>K140*(1+'Inputs'!$D$54)</x:f>
        <x:v>829.7976720000001</x:v>
      </x:c>
      <x:c r="M140" s="27" t="n">
        <x:f>E140*'Inputs'!$D$55</x:f>
        <x:v>30</x:v>
      </x:c>
      <x:c r="N140" s="27" t="n">
        <x:f>'Fleet'!$D$17</x:f>
        <x:v>14.5</x:v>
      </x:c>
      <x:c r="O140" s="27" t="n">
        <x:f>J140*'Inputs'!$D$56+'Inputs'!$D$57</x:f>
        <x:v>39.84556799999999</x:v>
      </x:c>
      <x:c r="P140" s="27" t="n">
        <x:f>SUM(L140:O140)</x:f>
        <x:v>914.1432400000001</x:v>
      </x:c>
      <x:c r="Q140" s="27" t="n">
        <x:f>J140-P140</x:f>
        <x:v>184.34475999999995</x:v>
      </x:c>
      <x:c r="R140" s="33" t="n">
        <x:f>Q140/J140</x:f>
        <x:v>0.1678168172979586</x:v>
      </x:c>
      <x:c r="S140" s="27" t="n">
        <x:f>E140*$K$12</x:f>
        <x:v>400</x:v>
      </x:c>
      <x:c r="T140" s="27" t="n">
        <x:f>J140+S140</x:f>
        <x:v>1498.488</x:v>
      </x:c>
    </x:row>
    <x:row r="141" ht="22" customHeight="1">
      <x:c r="A141" s="1"/>
      <x:c r="B141" s="1"/>
      <x:c r="C141" s="1" t="str">
        <x:v>BYO sub conditional</x:v>
      </x:c>
      <x:c r="D141" s="1" t="str">
        <x:v>Heavy</x:v>
      </x:c>
      <x:c r="E141" s="1" t="n">
        <x:v>50</x:v>
      </x:c>
      <x:c r="F141" s="27" t="n">
        <x:f>IF($H$12&gt;0,$H$12+MAX(0,E141-$I$12)*$J$12,MAX(E141,'Inputs'!$D$9)*$D$12)</x:f>
        <x:v>1450</x:v>
      </x:c>
      <x:c r="G141" s="27" t="n">
        <x:f>E141*'Cost Build'!F9*(1-$G$12)*$F$12</x:f>
        <x:v>1275.12</x:v>
      </x:c>
      <x:c r="H141" s="27" t="n">
        <x:f>IF($H$12&gt;0,20,MAX(E141,'Inputs'!$D$9)*$E$12)</x:f>
        <x:v>500</x:v>
      </x:c>
      <x:c r="I141" s="27" t="n">
        <x:f>MAX(0,G141-H141)+E141*'Cost Build'!F52</x:f>
        <x:v>1296.2199999999998</x:v>
      </x:c>
      <x:c r="J141" s="27" t="n">
        <x:f>F141+I141</x:f>
        <x:v>2746.22</x:v>
      </x:c>
      <x:c r="K141" s="27" t="n">
        <x:f>E141*('Cost Build'!F9*(1-$G$12)+'Cost Build'!F21+'Cost Build'!F33)</x:f>
        <x:v>1885.9038000000003</x:v>
      </x:c>
      <x:c r="L141" s="27" t="n">
        <x:f>K141*(1+'Inputs'!$D$54)</x:f>
        <x:v>2074.4941800000006</x:v>
      </x:c>
      <x:c r="M141" s="27" t="n">
        <x:f>E141*'Inputs'!$D$55</x:f>
        <x:v>75</x:v>
      </x:c>
      <x:c r="N141" s="27" t="n">
        <x:f>'Fleet'!$D$17</x:f>
        <x:v>14.5</x:v>
      </x:c>
      <x:c r="O141" s="27" t="n">
        <x:f>J141*'Inputs'!$D$56+'Inputs'!$D$57</x:f>
        <x:v>99.16391999999998</x:v>
      </x:c>
      <x:c r="P141" s="27" t="n">
        <x:f>SUM(L141:O141)</x:f>
        <x:v>2263.1581000000006</x:v>
      </x:c>
      <x:c r="Q141" s="27" t="n">
        <x:f>J141-P141</x:f>
        <x:v>483.06189999999924</x:v>
      </x:c>
      <x:c r="R141" s="33" t="n">
        <x:f>Q141/J141</x:f>
        <x:v>0.1759006561746689</x:v>
      </x:c>
      <x:c r="S141" s="27" t="n">
        <x:f>E141*$K$12</x:f>
        <x:v>1000</x:v>
      </x:c>
      <x:c r="T141" s="27" t="n">
        <x:f>J141+S141</x:f>
        <x:v>3746.22</x:v>
      </x:c>
    </x:row>
    <x:row r="142" ht="22" customHeight="1">
      <x:c r="A142" s="1"/>
      <x:c r="B142" s="1"/>
      <x:c r="C142" s="1" t="str">
        <x:v>BYO sub conditional</x:v>
      </x:c>
      <x:c r="D142" s="1" t="str">
        <x:v>Heavy</x:v>
      </x:c>
      <x:c r="E142" s="1" t="n">
        <x:v>100</x:v>
      </x:c>
      <x:c r="F142" s="27" t="n">
        <x:f>IF($H$12&gt;0,$H$12+MAX(0,E142-$I$12)*$J$12,MAX(E142,'Inputs'!$D$9)*$D$12)</x:f>
        <x:v>2900</x:v>
      </x:c>
      <x:c r="G142" s="27" t="n">
        <x:f>E142*'Cost Build'!F9*(1-$G$12)*$F$12</x:f>
        <x:v>2550.24</x:v>
      </x:c>
      <x:c r="H142" s="27" t="n">
        <x:f>IF($H$12&gt;0,20,MAX(E142,'Inputs'!$D$9)*$E$12)</x:f>
        <x:v>1000</x:v>
      </x:c>
      <x:c r="I142" s="27" t="n">
        <x:f>MAX(0,G142-H142)+E142*'Cost Build'!F52</x:f>
        <x:v>2592.4399999999996</x:v>
      </x:c>
      <x:c r="J142" s="27" t="n">
        <x:f>F142+I142</x:f>
        <x:v>5492.44</x:v>
      </x:c>
      <x:c r="K142" s="27" t="n">
        <x:f>E142*('Cost Build'!F9*(1-$G$12)+'Cost Build'!F21+'Cost Build'!F33)</x:f>
        <x:v>3771.8076000000005</x:v>
      </x:c>
      <x:c r="L142" s="27" t="n">
        <x:f>K142*(1+'Inputs'!$D$54)</x:f>
        <x:v>4148.988360000001</x:v>
      </x:c>
      <x:c r="M142" s="27" t="n">
        <x:f>E142*'Inputs'!$D$55</x:f>
        <x:v>150</x:v>
      </x:c>
      <x:c r="N142" s="27" t="n">
        <x:f>'Fleet'!$D$17</x:f>
        <x:v>14.5</x:v>
      </x:c>
      <x:c r="O142" s="27" t="n">
        <x:f>J142*'Inputs'!$D$56+'Inputs'!$D$57</x:f>
        <x:v>198.02783999999997</x:v>
      </x:c>
      <x:c r="P142" s="27" t="n">
        <x:f>SUM(L142:O142)</x:f>
        <x:v>4511.516200000001</x:v>
      </x:c>
      <x:c r="Q142" s="27" t="n">
        <x:f>J142-P142</x:f>
        <x:v>980.9237999999987</x:v>
      </x:c>
      <x:c r="R142" s="33" t="n">
        <x:f>Q142/J142</x:f>
        <x:v>0.17859526913357246</x:v>
      </x:c>
      <x:c r="S142" s="27" t="n">
        <x:f>E142*$K$12</x:f>
        <x:v>2000</x:v>
      </x:c>
      <x:c r="T142" s="27" t="n">
        <x:f>J142+S142</x:f>
        <x:v>7492.44</x:v>
      </x:c>
    </x:row>
    <x:row r="143" ht="22" customHeight="1">
      <x:c r="A143" s="1"/>
      <x:c r="B143" s="1"/>
      <x:c r="C143" s="1" t="str">
        <x:v>Workspace + seats</x:v>
      </x:c>
      <x:c r="D143" s="1" t="str">
        <x:v>Light</x:v>
      </x:c>
      <x:c r="E143" s="1" t="n">
        <x:v>3</x:v>
      </x:c>
      <x:c r="F143" s="27" t="n">
        <x:f>IF($H$13&gt;0,$H$13+MAX(0,E143-$I$13)*$J$13,MAX(E143,'Inputs'!$D$9)*$D$13)</x:f>
        <x:v>99</x:v>
      </x:c>
      <x:c r="G143" s="27" t="n">
        <x:f>E143*'Cost Build'!D9*(1-$G$13)*$F$13</x:f>
        <x:v>14.345100000000002</x:v>
      </x:c>
      <x:c r="H143" s="27" t="n">
        <x:f>IF($H$13&gt;0,20,MAX(E143,'Inputs'!$D$9)*$E$13)</x:f>
        <x:v>20</x:v>
      </x:c>
      <x:c r="I143" s="27" t="n">
        <x:f>MAX(0,G143-H143)+E143*'Cost Build'!D52</x:f>
        <x:v>0</x:v>
      </x:c>
      <x:c r="J143" s="27" t="n">
        <x:f>F143+I143</x:f>
        <x:v>99</x:v>
      </x:c>
      <x:c r="K143" s="27" t="n">
        <x:f>E143*('Cost Build'!D9*(1-$G$13)+'Cost Build'!D21+'Cost Build'!D33)</x:f>
        <x:v>12.409656239999999</x:v>
      </x:c>
      <x:c r="L143" s="27" t="n">
        <x:f>K143*(1+'Inputs'!$D$54)</x:f>
        <x:v>13.650621864</x:v>
      </x:c>
      <x:c r="M143" s="27" t="n">
        <x:f>E143*'Inputs'!$D$55</x:f>
        <x:v>4.5</x:v>
      </x:c>
      <x:c r="N143" s="27" t="n">
        <x:f>'Fleet'!$D$17</x:f>
        <x:v>14.5</x:v>
      </x:c>
      <x:c r="O143" s="27" t="n">
        <x:f>J143*'Inputs'!$D$56+'Inputs'!$D$57</x:f>
        <x:v>3.8639999999999994</x:v>
      </x:c>
      <x:c r="P143" s="27" t="n">
        <x:f>SUM(L143:O143)</x:f>
        <x:v>36.514621864</x:v>
      </x:c>
      <x:c r="Q143" s="27" t="n">
        <x:f>J143-P143</x:f>
        <x:v>62.485378136</x:v>
      </x:c>
      <x:c r="R143" s="33" t="n">
        <x:f>Q143/J143</x:f>
        <x:v>0.6311654357171718</x:v>
      </x:c>
      <x:c r="S143" s="27" t="n">
        <x:f>0</x:f>
        <x:v>0</x:v>
      </x:c>
      <x:c r="T143" s="27" t="n">
        <x:f>J143+S143</x:f>
        <x:v>99</x:v>
      </x:c>
    </x:row>
    <x:row r="144" ht="22" customHeight="1">
      <x:c r="A144" s="1"/>
      <x:c r="B144" s="1"/>
      <x:c r="C144" s="1" t="str">
        <x:v>Workspace + seats</x:v>
      </x:c>
      <x:c r="D144" s="1" t="str">
        <x:v>Light</x:v>
      </x:c>
      <x:c r="E144" s="1" t="n">
        <x:v>5</x:v>
      </x:c>
      <x:c r="F144" s="27" t="n">
        <x:f>IF($H$13&gt;0,$H$13+MAX(0,E144-$I$13)*$J$13,MAX(E144,'Inputs'!$D$9)*$D$13)</x:f>
        <x:v>99</x:v>
      </x:c>
      <x:c r="G144" s="27" t="n">
        <x:f>E144*'Cost Build'!D9*(1-$G$13)*$F$13</x:f>
        <x:v>23.9085</x:v>
      </x:c>
      <x:c r="H144" s="27" t="n">
        <x:f>IF($H$13&gt;0,20,MAX(E144,'Inputs'!$D$9)*$E$13)</x:f>
        <x:v>20</x:v>
      </x:c>
      <x:c r="I144" s="27" t="n">
        <x:f>MAX(0,G144-H144)+E144*'Cost Build'!D52</x:f>
        <x:v>3.9085</x:v>
      </x:c>
      <x:c r="J144" s="27" t="n">
        <x:f>F144+I144</x:f>
        <x:v>102.9085</x:v>
      </x:c>
      <x:c r="K144" s="27" t="n">
        <x:f>E144*('Cost Build'!D9*(1-$G$13)+'Cost Build'!D21+'Cost Build'!D33)</x:f>
        <x:v>20.6827604</x:v>
      </x:c>
      <x:c r="L144" s="27" t="n">
        <x:f>K144*(1+'Inputs'!$D$54)</x:f>
        <x:v>22.75103644</x:v>
      </x:c>
      <x:c r="M144" s="27" t="n">
        <x:f>E144*'Inputs'!$D$55</x:f>
        <x:v>7.5</x:v>
      </x:c>
      <x:c r="N144" s="27" t="n">
        <x:f>'Fleet'!$D$17</x:f>
        <x:v>14.5</x:v>
      </x:c>
      <x:c r="O144" s="27" t="n">
        <x:f>J144*'Inputs'!$D$56+'Inputs'!$D$57</x:f>
        <x:v>4.004706</x:v>
      </x:c>
      <x:c r="P144" s="27" t="n">
        <x:f>SUM(L144:O144)</x:f>
        <x:v>48.75574244</x:v>
      </x:c>
      <x:c r="Q144" s="27" t="n">
        <x:f>J144-P144</x:f>
        <x:v>54.152757560000005</x:v>
      </x:c>
      <x:c r="R144" s="33" t="n">
        <x:f>Q144/J144</x:f>
        <x:v>0.5262223971780757</x:v>
      </x:c>
      <x:c r="S144" s="27" t="n">
        <x:f>0</x:f>
        <x:v>0</x:v>
      </x:c>
      <x:c r="T144" s="27" t="n">
        <x:f>J144+S144</x:f>
        <x:v>102.9085</x:v>
      </x:c>
    </x:row>
    <x:row r="145" ht="22" customHeight="1">
      <x:c r="A145" s="1"/>
      <x:c r="B145" s="1"/>
      <x:c r="C145" s="1" t="str">
        <x:v>Workspace + seats</x:v>
      </x:c>
      <x:c r="D145" s="1" t="str">
        <x:v>Light</x:v>
      </x:c>
      <x:c r="E145" s="1" t="n">
        <x:v>10</x:v>
      </x:c>
      <x:c r="F145" s="27" t="n">
        <x:f>IF($H$13&gt;0,$H$13+MAX(0,E145-$I$13)*$J$13,MAX(E145,'Inputs'!$D$9)*$D$13)</x:f>
        <x:v>174</x:v>
      </x:c>
      <x:c r="G145" s="27" t="n">
        <x:f>E145*'Cost Build'!D9*(1-$G$13)*$F$13</x:f>
        <x:v>47.817</x:v>
      </x:c>
      <x:c r="H145" s="27" t="n">
        <x:f>IF($H$13&gt;0,20,MAX(E145,'Inputs'!$D$9)*$E$13)</x:f>
        <x:v>20</x:v>
      </x:c>
      <x:c r="I145" s="27" t="n">
        <x:f>MAX(0,G145-H145)+E145*'Cost Build'!D52</x:f>
        <x:v>27.817</x:v>
      </x:c>
      <x:c r="J145" s="27" t="n">
        <x:f>F145+I145</x:f>
        <x:v>201.817</x:v>
      </x:c>
      <x:c r="K145" s="27" t="n">
        <x:f>E145*('Cost Build'!D9*(1-$G$13)+'Cost Build'!D21+'Cost Build'!D33)</x:f>
        <x:v>41.3655208</x:v>
      </x:c>
      <x:c r="L145" s="27" t="n">
        <x:f>K145*(1+'Inputs'!$D$54)</x:f>
        <x:v>45.50207288</x:v>
      </x:c>
      <x:c r="M145" s="27" t="n">
        <x:f>E145*'Inputs'!$D$55</x:f>
        <x:v>15</x:v>
      </x:c>
      <x:c r="N145" s="27" t="n">
        <x:f>'Fleet'!$D$17</x:f>
        <x:v>14.5</x:v>
      </x:c>
      <x:c r="O145" s="27" t="n">
        <x:f>J145*'Inputs'!$D$56+'Inputs'!$D$57</x:f>
        <x:v>7.565411999999999</x:v>
      </x:c>
      <x:c r="P145" s="27" t="n">
        <x:f>SUM(L145:O145)</x:f>
        <x:v>82.56748488</x:v>
      </x:c>
      <x:c r="Q145" s="27" t="n">
        <x:f>J145-P145</x:f>
        <x:v>119.24951512000001</x:v>
      </x:c>
      <x:c r="R145" s="33" t="n">
        <x:f>Q145/J145</x:f>
        <x:v>0.5908794359246248</x:v>
      </x:c>
      <x:c r="S145" s="27" t="n">
        <x:f>0</x:f>
        <x:v>0</x:v>
      </x:c>
      <x:c r="T145" s="27" t="n">
        <x:f>J145+S145</x:f>
        <x:v>201.817</x:v>
      </x:c>
    </x:row>
    <x:row r="146" ht="22" customHeight="1">
      <x:c r="A146" s="1"/>
      <x:c r="B146" s="1"/>
      <x:c r="C146" s="1" t="str">
        <x:v>Workspace + seats</x:v>
      </x:c>
      <x:c r="D146" s="1" t="str">
        <x:v>Light</x:v>
      </x:c>
      <x:c r="E146" s="1" t="n">
        <x:v>20</x:v>
      </x:c>
      <x:c r="F146" s="27" t="n">
        <x:f>IF($H$13&gt;0,$H$13+MAX(0,E146-$I$13)*$J$13,MAX(E146,'Inputs'!$D$9)*$D$13)</x:f>
        <x:v>324</x:v>
      </x:c>
      <x:c r="G146" s="27" t="n">
        <x:f>E146*'Cost Build'!D9*(1-$G$13)*$F$13</x:f>
        <x:v>95.634</x:v>
      </x:c>
      <x:c r="H146" s="27" t="n">
        <x:f>IF($H$13&gt;0,20,MAX(E146,'Inputs'!$D$9)*$E$13)</x:f>
        <x:v>20</x:v>
      </x:c>
      <x:c r="I146" s="27" t="n">
        <x:f>MAX(0,G146-H146)+E146*'Cost Build'!D52</x:f>
        <x:v>75.634</x:v>
      </x:c>
      <x:c r="J146" s="27" t="n">
        <x:f>F146+I146</x:f>
        <x:v>399.634</x:v>
      </x:c>
      <x:c r="K146" s="27" t="n">
        <x:f>E146*('Cost Build'!D9*(1-$G$13)+'Cost Build'!D21+'Cost Build'!D33)</x:f>
        <x:v>82.7310416</x:v>
      </x:c>
      <x:c r="L146" s="27" t="n">
        <x:f>K146*(1+'Inputs'!$D$54)</x:f>
        <x:v>91.00414576</x:v>
      </x:c>
      <x:c r="M146" s="27" t="n">
        <x:f>E146*'Inputs'!$D$55</x:f>
        <x:v>30</x:v>
      </x:c>
      <x:c r="N146" s="27" t="n">
        <x:f>'Fleet'!$D$17</x:f>
        <x:v>14.5</x:v>
      </x:c>
      <x:c r="O146" s="27" t="n">
        <x:f>J146*'Inputs'!$D$56+'Inputs'!$D$57</x:f>
        <x:v>14.686824</x:v>
      </x:c>
      <x:c r="P146" s="27" t="n">
        <x:f>SUM(L146:O146)</x:f>
        <x:v>150.19096976</x:v>
      </x:c>
      <x:c r="Q146" s="27" t="n">
        <x:f>J146-P146</x:f>
        <x:v>249.44303024</x:v>
      </x:c>
      <x:c r="R146" s="33" t="n">
        <x:f>Q146/J146</x:f>
        <x:v>0.6241786991096854</x:v>
      </x:c>
      <x:c r="S146" s="27" t="n">
        <x:f>0</x:f>
        <x:v>0</x:v>
      </x:c>
      <x:c r="T146" s="27" t="n">
        <x:f>J146+S146</x:f>
        <x:v>399.634</x:v>
      </x:c>
    </x:row>
    <x:row r="147" ht="22" customHeight="1">
      <x:c r="A147" s="1"/>
      <x:c r="B147" s="1"/>
      <x:c r="C147" s="1" t="str">
        <x:v>Workspace + seats</x:v>
      </x:c>
      <x:c r="D147" s="1" t="str">
        <x:v>Light</x:v>
      </x:c>
      <x:c r="E147" s="1" t="n">
        <x:v>50</x:v>
      </x:c>
      <x:c r="F147" s="27" t="n">
        <x:f>IF($H$13&gt;0,$H$13+MAX(0,E147-$I$13)*$J$13,MAX(E147,'Inputs'!$D$9)*$D$13)</x:f>
        <x:v>774</x:v>
      </x:c>
      <x:c r="G147" s="27" t="n">
        <x:f>E147*'Cost Build'!D9*(1-$G$13)*$F$13</x:f>
        <x:v>239.08500000000004</x:v>
      </x:c>
      <x:c r="H147" s="27" t="n">
        <x:f>IF($H$13&gt;0,20,MAX(E147,'Inputs'!$D$9)*$E$13)</x:f>
        <x:v>20</x:v>
      </x:c>
      <x:c r="I147" s="27" t="n">
        <x:f>MAX(0,G147-H147)+E147*'Cost Build'!D52</x:f>
        <x:v>219.08500000000004</x:v>
      </x:c>
      <x:c r="J147" s="27" t="n">
        <x:f>F147+I147</x:f>
        <x:v>993.085</x:v>
      </x:c>
      <x:c r="K147" s="27" t="n">
        <x:f>E147*('Cost Build'!D9*(1-$G$13)+'Cost Build'!D21+'Cost Build'!D33)</x:f>
        <x:v>206.82760399999998</x:v>
      </x:c>
      <x:c r="L147" s="27" t="n">
        <x:f>K147*(1+'Inputs'!$D$54)</x:f>
        <x:v>227.5103644</x:v>
      </x:c>
      <x:c r="M147" s="27" t="n">
        <x:f>E147*'Inputs'!$D$55</x:f>
        <x:v>75</x:v>
      </x:c>
      <x:c r="N147" s="27" t="n">
        <x:f>'Fleet'!$D$17</x:f>
        <x:v>14.5</x:v>
      </x:c>
      <x:c r="O147" s="27" t="n">
        <x:f>J147*'Inputs'!$D$56+'Inputs'!$D$57</x:f>
        <x:v>36.05105999999999</x:v>
      </x:c>
      <x:c r="P147" s="27" t="n">
        <x:f>SUM(L147:O147)</x:f>
        <x:v>353.06142439999996</x:v>
      </x:c>
      <x:c r="Q147" s="27" t="n">
        <x:f>J147-P147</x:f>
        <x:v>640.0235756000001</x:v>
      </x:c>
      <x:c r="R147" s="33" t="n">
        <x:f>Q147/J147</x:f>
        <x:v>0.6444801558778956</x:v>
      </x:c>
      <x:c r="S147" s="27" t="n">
        <x:f>0</x:f>
        <x:v>0</x:v>
      </x:c>
      <x:c r="T147" s="27" t="n">
        <x:f>J147+S147</x:f>
        <x:v>993.085</x:v>
      </x:c>
    </x:row>
    <x:row r="148" ht="22" customHeight="1">
      <x:c r="A148" s="1"/>
      <x:c r="B148" s="1"/>
      <x:c r="C148" s="1" t="str">
        <x:v>Workspace + seats</x:v>
      </x:c>
      <x:c r="D148" s="1" t="str">
        <x:v>Light</x:v>
      </x:c>
      <x:c r="E148" s="1" t="n">
        <x:v>100</x:v>
      </x:c>
      <x:c r="F148" s="27" t="n">
        <x:f>IF($H$13&gt;0,$H$13+MAX(0,E148-$I$13)*$J$13,MAX(E148,'Inputs'!$D$9)*$D$13)</x:f>
        <x:v>1524</x:v>
      </x:c>
      <x:c r="G148" s="27" t="n">
        <x:f>E148*'Cost Build'!D9*(1-$G$13)*$F$13</x:f>
        <x:v>478.1700000000001</x:v>
      </x:c>
      <x:c r="H148" s="27" t="n">
        <x:f>IF($H$13&gt;0,20,MAX(E148,'Inputs'!$D$9)*$E$13)</x:f>
        <x:v>20</x:v>
      </x:c>
      <x:c r="I148" s="27" t="n">
        <x:f>MAX(0,G148-H148)+E148*'Cost Build'!D52</x:f>
        <x:v>458.1700000000001</x:v>
      </x:c>
      <x:c r="J148" s="27" t="n">
        <x:f>F148+I148</x:f>
        <x:v>1982.17</x:v>
      </x:c>
      <x:c r="K148" s="27" t="n">
        <x:f>E148*('Cost Build'!D9*(1-$G$13)+'Cost Build'!D21+'Cost Build'!D33)</x:f>
        <x:v>413.65520799999996</x:v>
      </x:c>
      <x:c r="L148" s="27" t="n">
        <x:f>K148*(1+'Inputs'!$D$54)</x:f>
        <x:v>455.0207288</x:v>
      </x:c>
      <x:c r="M148" s="27" t="n">
        <x:f>E148*'Inputs'!$D$55</x:f>
        <x:v>150</x:v>
      </x:c>
      <x:c r="N148" s="27" t="n">
        <x:f>'Fleet'!$D$17</x:f>
        <x:v>14.5</x:v>
      </x:c>
      <x:c r="O148" s="27" t="n">
        <x:f>J148*'Inputs'!$D$56+'Inputs'!$D$57</x:f>
        <x:v>71.65812</x:v>
      </x:c>
      <x:c r="P148" s="27" t="n">
        <x:f>SUM(L148:O148)</x:f>
        <x:v>691.1788488</x:v>
      </x:c>
      <x:c r="Q148" s="27" t="n">
        <x:f>J148-P148</x:f>
        <x:v>1290.9911512</x:v>
      </x:c>
      <x:c r="R148" s="33" t="n">
        <x:f>Q148/J148</x:f>
        <x:v>0.6513019323266925</x:v>
      </x:c>
      <x:c r="S148" s="27" t="n">
        <x:f>0</x:f>
        <x:v>0</x:v>
      </x:c>
      <x:c r="T148" s="27" t="n">
        <x:f>J148+S148</x:f>
        <x:v>1982.17</x:v>
      </x:c>
    </x:row>
    <x:row r="149" ht="22" customHeight="1">
      <x:c r="A149" s="1"/>
      <x:c r="B149" s="1"/>
      <x:c r="C149" s="1" t="str">
        <x:v>Workspace + seats</x:v>
      </x:c>
      <x:c r="D149" s="1" t="str">
        <x:v>Typical</x:v>
      </x:c>
      <x:c r="E149" s="1" t="n">
        <x:v>3</x:v>
      </x:c>
      <x:c r="F149" s="27" t="n">
        <x:f>IF($H$13&gt;0,$H$13+MAX(0,E149-$I$13)*$J$13,MAX(E149,'Inputs'!$D$9)*$D$13)</x:f>
        <x:v>99</x:v>
      </x:c>
      <x:c r="G149" s="27" t="n">
        <x:f>E149*'Cost Build'!E9*(1-$G$13)*$F$13</x:f>
        <x:v>45.8703</x:v>
      </x:c>
      <x:c r="H149" s="27" t="n">
        <x:f>IF($H$13&gt;0,20,MAX(E149,'Inputs'!$D$9)*$E$13)</x:f>
        <x:v>20</x:v>
      </x:c>
      <x:c r="I149" s="27" t="n">
        <x:f>MAX(0,G149-H149)+E149*'Cost Build'!E52</x:f>
        <x:v>25.8703</x:v>
      </x:c>
      <x:c r="J149" s="27" t="n">
        <x:f>F149+I149</x:f>
        <x:v>124.8703</x:v>
      </x:c>
      <x:c r="K149" s="27" t="n">
        <x:f>E149*('Cost Build'!E9*(1-$G$13)+'Cost Build'!E21+'Cost Build'!E33)</x:f>
        <x:v>39.9961062</x:v>
      </x:c>
      <x:c r="L149" s="27" t="n">
        <x:f>K149*(1+'Inputs'!$D$54)</x:f>
        <x:v>43.995716820000005</x:v>
      </x:c>
      <x:c r="M149" s="27" t="n">
        <x:f>E149*'Inputs'!$D$55</x:f>
        <x:v>4.5</x:v>
      </x:c>
      <x:c r="N149" s="27" t="n">
        <x:f>'Fleet'!$D$17</x:f>
        <x:v>14.5</x:v>
      </x:c>
      <x:c r="O149" s="27" t="n">
        <x:f>J149*'Inputs'!$D$56+'Inputs'!$D$57</x:f>
        <x:v>4.7953307999999994</x:v>
      </x:c>
      <x:c r="P149" s="27" t="n">
        <x:f>SUM(L149:O149)</x:f>
        <x:v>67.79104762</x:v>
      </x:c>
      <x:c r="Q149" s="27" t="n">
        <x:f>J149-P149</x:f>
        <x:v>57.07925238</x:v>
      </x:c>
      <x:c r="R149" s="33" t="n">
        <x:f>Q149/J149</x:f>
        <x:v>0.45710831462725726</x:v>
      </x:c>
      <x:c r="S149" s="27" t="n">
        <x:f>0</x:f>
        <x:v>0</x:v>
      </x:c>
      <x:c r="T149" s="27" t="n">
        <x:f>J149+S149</x:f>
        <x:v>124.8703</x:v>
      </x:c>
    </x:row>
    <x:row r="150" ht="22" customHeight="1">
      <x:c r="A150" s="1"/>
      <x:c r="B150" s="1"/>
      <x:c r="C150" s="1" t="str">
        <x:v>Workspace + seats</x:v>
      </x:c>
      <x:c r="D150" s="1" t="str">
        <x:v>Typical</x:v>
      </x:c>
      <x:c r="E150" s="1" t="n">
        <x:v>5</x:v>
      </x:c>
      <x:c r="F150" s="27" t="n">
        <x:f>IF($H$13&gt;0,$H$13+MAX(0,E150-$I$13)*$J$13,MAX(E150,'Inputs'!$D$9)*$D$13)</x:f>
        <x:v>99</x:v>
      </x:c>
      <x:c r="G150" s="27" t="n">
        <x:f>E150*'Cost Build'!E9*(1-$G$13)*$F$13</x:f>
        <x:v>76.45049999999999</x:v>
      </x:c>
      <x:c r="H150" s="27" t="n">
        <x:f>IF($H$13&gt;0,20,MAX(E150,'Inputs'!$D$9)*$E$13)</x:f>
        <x:v>20</x:v>
      </x:c>
      <x:c r="I150" s="27" t="n">
        <x:f>MAX(0,G150-H150)+E150*'Cost Build'!E52</x:f>
        <x:v>56.45049999999999</x:v>
      </x:c>
      <x:c r="J150" s="27" t="n">
        <x:f>F150+I150</x:f>
        <x:v>155.45049999999998</x:v>
      </x:c>
      <x:c r="K150" s="27" t="n">
        <x:f>E150*('Cost Build'!E9*(1-$G$13)+'Cost Build'!E21+'Cost Build'!E33)</x:f>
        <x:v>66.66017699999999</x:v>
      </x:c>
      <x:c r="L150" s="27" t="n">
        <x:f>K150*(1+'Inputs'!$D$54)</x:f>
        <x:v>73.3261947</x:v>
      </x:c>
      <x:c r="M150" s="27" t="n">
        <x:f>E150*'Inputs'!$D$55</x:f>
        <x:v>7.5</x:v>
      </x:c>
      <x:c r="N150" s="27" t="n">
        <x:f>'Fleet'!$D$17</x:f>
        <x:v>14.5</x:v>
      </x:c>
      <x:c r="O150" s="27" t="n">
        <x:f>J150*'Inputs'!$D$56+'Inputs'!$D$57</x:f>
        <x:v>5.896217999999998</x:v>
      </x:c>
      <x:c r="P150" s="27" t="n">
        <x:f>SUM(L150:O150)</x:f>
        <x:v>101.2224127</x:v>
      </x:c>
      <x:c r="Q150" s="27" t="n">
        <x:f>J150-P150</x:f>
        <x:v>54.22808729999997</x:v>
      </x:c>
      <x:c r="R150" s="33" t="n">
        <x:f>Q150/J150</x:f>
        <x:v>0.348844727421269</x:v>
      </x:c>
      <x:c r="S150" s="27" t="n">
        <x:f>0</x:f>
        <x:v>0</x:v>
      </x:c>
      <x:c r="T150" s="27" t="n">
        <x:f>J150+S150</x:f>
        <x:v>155.45049999999998</x:v>
      </x:c>
    </x:row>
    <x:row r="151" ht="22" customHeight="1">
      <x:c r="A151" s="1"/>
      <x:c r="B151" s="1"/>
      <x:c r="C151" s="1" t="str">
        <x:v>Workspace + seats</x:v>
      </x:c>
      <x:c r="D151" s="1" t="str">
        <x:v>Typical</x:v>
      </x:c>
      <x:c r="E151" s="1" t="n">
        <x:v>10</x:v>
      </x:c>
      <x:c r="F151" s="27" t="n">
        <x:f>IF($H$13&gt;0,$H$13+MAX(0,E151-$I$13)*$J$13,MAX(E151,'Inputs'!$D$9)*$D$13)</x:f>
        <x:v>174</x:v>
      </x:c>
      <x:c r="G151" s="27" t="n">
        <x:f>E151*'Cost Build'!E9*(1-$G$13)*$F$13</x:f>
        <x:v>152.90099999999998</x:v>
      </x:c>
      <x:c r="H151" s="27" t="n">
        <x:f>IF($H$13&gt;0,20,MAX(E151,'Inputs'!$D$9)*$E$13)</x:f>
        <x:v>20</x:v>
      </x:c>
      <x:c r="I151" s="27" t="n">
        <x:f>MAX(0,G151-H151)+E151*'Cost Build'!E52</x:f>
        <x:v>132.90099999999998</x:v>
      </x:c>
      <x:c r="J151" s="27" t="n">
        <x:f>F151+I151</x:f>
        <x:v>306.90099999999995</x:v>
      </x:c>
      <x:c r="K151" s="27" t="n">
        <x:f>E151*('Cost Build'!E9*(1-$G$13)+'Cost Build'!E21+'Cost Build'!E33)</x:f>
        <x:v>133.32035399999998</x:v>
      </x:c>
      <x:c r="L151" s="27" t="n">
        <x:f>K151*(1+'Inputs'!$D$54)</x:f>
        <x:v>146.6523894</x:v>
      </x:c>
      <x:c r="M151" s="27" t="n">
        <x:f>E151*'Inputs'!$D$55</x:f>
        <x:v>15</x:v>
      </x:c>
      <x:c r="N151" s="27" t="n">
        <x:f>'Fleet'!$D$17</x:f>
        <x:v>14.5</x:v>
      </x:c>
      <x:c r="O151" s="27" t="n">
        <x:f>J151*'Inputs'!$D$56+'Inputs'!$D$57</x:f>
        <x:v>11.348435999999998</x:v>
      </x:c>
      <x:c r="P151" s="27" t="n">
        <x:f>SUM(L151:O151)</x:f>
        <x:v>187.5008254</x:v>
      </x:c>
      <x:c r="Q151" s="27" t="n">
        <x:f>J151-P151</x:f>
        <x:v>119.40017459999996</x:v>
      </x:c>
      <x:c r="R151" s="33" t="n">
        <x:f>Q151/J151</x:f>
        <x:v>0.38905110964121975</x:v>
      </x:c>
      <x:c r="S151" s="27" t="n">
        <x:f>0</x:f>
        <x:v>0</x:v>
      </x:c>
      <x:c r="T151" s="27" t="n">
        <x:f>J151+S151</x:f>
        <x:v>306.90099999999995</x:v>
      </x:c>
    </x:row>
    <x:row r="152" ht="22" customHeight="1">
      <x:c r="A152" s="1"/>
      <x:c r="B152" s="1"/>
      <x:c r="C152" s="1" t="str">
        <x:v>Workspace + seats</x:v>
      </x:c>
      <x:c r="D152" s="1" t="str">
        <x:v>Typical</x:v>
      </x:c>
      <x:c r="E152" s="1" t="n">
        <x:v>20</x:v>
      </x:c>
      <x:c r="F152" s="27" t="n">
        <x:f>IF($H$13&gt;0,$H$13+MAX(0,E152-$I$13)*$J$13,MAX(E152,'Inputs'!$D$9)*$D$13)</x:f>
        <x:v>324</x:v>
      </x:c>
      <x:c r="G152" s="27" t="n">
        <x:f>E152*'Cost Build'!E9*(1-$G$13)*$F$13</x:f>
        <x:v>305.80199999999996</x:v>
      </x:c>
      <x:c r="H152" s="27" t="n">
        <x:f>IF($H$13&gt;0,20,MAX(E152,'Inputs'!$D$9)*$E$13)</x:f>
        <x:v>20</x:v>
      </x:c>
      <x:c r="I152" s="27" t="n">
        <x:f>MAX(0,G152-H152)+E152*'Cost Build'!E52</x:f>
        <x:v>285.80199999999996</x:v>
      </x:c>
      <x:c r="J152" s="27" t="n">
        <x:f>F152+I152</x:f>
        <x:v>609.8019999999999</x:v>
      </x:c>
      <x:c r="K152" s="27" t="n">
        <x:f>E152*('Cost Build'!E9*(1-$G$13)+'Cost Build'!E21+'Cost Build'!E33)</x:f>
        <x:v>266.64070799999996</x:v>
      </x:c>
      <x:c r="L152" s="27" t="n">
        <x:f>K152*(1+'Inputs'!$D$54)</x:f>
        <x:v>293.3047788</x:v>
      </x:c>
      <x:c r="M152" s="27" t="n">
        <x:f>E152*'Inputs'!$D$55</x:f>
        <x:v>30</x:v>
      </x:c>
      <x:c r="N152" s="27" t="n">
        <x:f>'Fleet'!$D$17</x:f>
        <x:v>14.5</x:v>
      </x:c>
      <x:c r="O152" s="27" t="n">
        <x:f>J152*'Inputs'!$D$56+'Inputs'!$D$57</x:f>
        <x:v>22.252871999999996</x:v>
      </x:c>
      <x:c r="P152" s="27" t="n">
        <x:f>SUM(L152:O152)</x:f>
        <x:v>360.05765080000003</x:v>
      </x:c>
      <x:c r="Q152" s="27" t="n">
        <x:f>J152-P152</x:f>
        <x:v>249.74434919999987</x:v>
      </x:c>
      <x:c r="R152" s="33" t="n">
        <x:f>Q152/J152</x:f>
        <x:v>0.4095499017713945</x:v>
      </x:c>
      <x:c r="S152" s="27" t="n">
        <x:f>0</x:f>
        <x:v>0</x:v>
      </x:c>
      <x:c r="T152" s="27" t="n">
        <x:f>J152+S152</x:f>
        <x:v>609.8019999999999</x:v>
      </x:c>
    </x:row>
    <x:row r="153" ht="22" customHeight="1">
      <x:c r="A153" s="1"/>
      <x:c r="B153" s="1"/>
      <x:c r="C153" s="1" t="str">
        <x:v>Workspace + seats</x:v>
      </x:c>
      <x:c r="D153" s="1" t="str">
        <x:v>Typical</x:v>
      </x:c>
      <x:c r="E153" s="1" t="n">
        <x:v>50</x:v>
      </x:c>
      <x:c r="F153" s="27" t="n">
        <x:f>IF($H$13&gt;0,$H$13+MAX(0,E153-$I$13)*$J$13,MAX(E153,'Inputs'!$D$9)*$D$13)</x:f>
        <x:v>774</x:v>
      </x:c>
      <x:c r="G153" s="27" t="n">
        <x:f>E153*'Cost Build'!E9*(1-$G$13)*$F$13</x:f>
        <x:v>764.5049999999999</x:v>
      </x:c>
      <x:c r="H153" s="27" t="n">
        <x:f>IF($H$13&gt;0,20,MAX(E153,'Inputs'!$D$9)*$E$13)</x:f>
        <x:v>20</x:v>
      </x:c>
      <x:c r="I153" s="27" t="n">
        <x:f>MAX(0,G153-H153)+E153*'Cost Build'!E52</x:f>
        <x:v>744.5049999999999</x:v>
      </x:c>
      <x:c r="J153" s="27" t="n">
        <x:f>F153+I153</x:f>
        <x:v>1518.5049999999999</x:v>
      </x:c>
      <x:c r="K153" s="27" t="n">
        <x:f>E153*('Cost Build'!E9*(1-$G$13)+'Cost Build'!E21+'Cost Build'!E33)</x:f>
        <x:v>666.60177</x:v>
      </x:c>
      <x:c r="L153" s="27" t="n">
        <x:f>K153*(1+'Inputs'!$D$54)</x:f>
        <x:v>733.2619470000001</x:v>
      </x:c>
      <x:c r="M153" s="27" t="n">
        <x:f>E153*'Inputs'!$D$55</x:f>
        <x:v>75</x:v>
      </x:c>
      <x:c r="N153" s="27" t="n">
        <x:f>'Fleet'!$D$17</x:f>
        <x:v>14.5</x:v>
      </x:c>
      <x:c r="O153" s="27" t="n">
        <x:f>J153*'Inputs'!$D$56+'Inputs'!$D$57</x:f>
        <x:v>54.96617999999999</x:v>
      </x:c>
      <x:c r="P153" s="27" t="n">
        <x:f>SUM(L153:O153)</x:f>
        <x:v>877.7281270000001</x:v>
      </x:c>
      <x:c r="Q153" s="27" t="n">
        <x:f>J153-P153</x:f>
        <x:v>640.7768729999998</x:v>
      </x:c>
      <x:c r="R153" s="33" t="n">
        <x:f>Q153/J153</x:f>
        <x:v>0.4219787705671037</x:v>
      </x:c>
      <x:c r="S153" s="27" t="n">
        <x:f>0</x:f>
        <x:v>0</x:v>
      </x:c>
      <x:c r="T153" s="27" t="n">
        <x:f>J153+S153</x:f>
        <x:v>1518.5049999999999</x:v>
      </x:c>
    </x:row>
    <x:row r="154" ht="22" customHeight="1">
      <x:c r="A154" s="1"/>
      <x:c r="B154" s="1"/>
      <x:c r="C154" s="1" t="str">
        <x:v>Workspace + seats</x:v>
      </x:c>
      <x:c r="D154" s="1" t="str">
        <x:v>Typical</x:v>
      </x:c>
      <x:c r="E154" s="1" t="n">
        <x:v>100</x:v>
      </x:c>
      <x:c r="F154" s="27" t="n">
        <x:f>IF($H$13&gt;0,$H$13+MAX(0,E154-$I$13)*$J$13,MAX(E154,'Inputs'!$D$9)*$D$13)</x:f>
        <x:v>1524</x:v>
      </x:c>
      <x:c r="G154" s="27" t="n">
        <x:f>E154*'Cost Build'!E9*(1-$G$13)*$F$13</x:f>
        <x:v>1529.0099999999998</x:v>
      </x:c>
      <x:c r="H154" s="27" t="n">
        <x:f>IF($H$13&gt;0,20,MAX(E154,'Inputs'!$D$9)*$E$13)</x:f>
        <x:v>20</x:v>
      </x:c>
      <x:c r="I154" s="27" t="n">
        <x:f>MAX(0,G154-H154)+E154*'Cost Build'!E52</x:f>
        <x:v>1509.0099999999998</x:v>
      </x:c>
      <x:c r="J154" s="27" t="n">
        <x:f>F154+I154</x:f>
        <x:v>3033.0099999999998</x:v>
      </x:c>
      <x:c r="K154" s="27" t="n">
        <x:f>E154*('Cost Build'!E9*(1-$G$13)+'Cost Build'!E21+'Cost Build'!E33)</x:f>
        <x:v>1333.20354</x:v>
      </x:c>
      <x:c r="L154" s="27" t="n">
        <x:f>K154*(1+'Inputs'!$D$54)</x:f>
        <x:v>1466.5238940000002</x:v>
      </x:c>
      <x:c r="M154" s="27" t="n">
        <x:f>E154*'Inputs'!$D$55</x:f>
        <x:v>150</x:v>
      </x:c>
      <x:c r="N154" s="27" t="n">
        <x:f>'Fleet'!$D$17</x:f>
        <x:v>14.5</x:v>
      </x:c>
      <x:c r="O154" s="27" t="n">
        <x:f>J154*'Inputs'!$D$56+'Inputs'!$D$57</x:f>
        <x:v>109.48835999999999</x:v>
      </x:c>
      <x:c r="P154" s="27" t="n">
        <x:f>SUM(L154:O154)</x:f>
        <x:v>1740.5122540000002</x:v>
      </x:c>
      <x:c r="Q154" s="27" t="n">
        <x:f>J154-P154</x:f>
        <x:v>1292.4977459999996</x:v>
      </x:c>
      <x:c r="R154" s="33" t="n">
        <x:f>Q154/J154</x:f>
        <x:v>0.4261435821180938</x:v>
      </x:c>
      <x:c r="S154" s="27" t="n">
        <x:f>0</x:f>
        <x:v>0</x:v>
      </x:c>
      <x:c r="T154" s="27" t="n">
        <x:f>J154+S154</x:f>
        <x:v>3033.0099999999998</x:v>
      </x:c>
    </x:row>
    <x:row r="155" ht="22" customHeight="1">
      <x:c r="A155" s="1"/>
      <x:c r="B155" s="1"/>
      <x:c r="C155" s="1" t="str">
        <x:v>Workspace + seats</x:v>
      </x:c>
      <x:c r="D155" s="1" t="str">
        <x:v>Heavy</x:v>
      </x:c>
      <x:c r="E155" s="1" t="n">
        <x:v>3</x:v>
      </x:c>
      <x:c r="F155" s="27" t="n">
        <x:f>IF($H$13&gt;0,$H$13+MAX(0,E155-$I$13)*$J$13,MAX(E155,'Inputs'!$D$9)*$D$13)</x:f>
        <x:v>99</x:v>
      </x:c>
      <x:c r="G155" s="27" t="n">
        <x:f>E155*'Cost Build'!F9*(1-$G$13)*$F$13</x:f>
        <x:v>191.268</x:v>
      </x:c>
      <x:c r="H155" s="27" t="n">
        <x:f>IF($H$13&gt;0,20,MAX(E155,'Inputs'!$D$9)*$E$13)</x:f>
        <x:v>20</x:v>
      </x:c>
      <x:c r="I155" s="27" t="n">
        <x:f>MAX(0,G155-H155)+E155*'Cost Build'!F52</x:f>
        <x:v>202.534</x:v>
      </x:c>
      <x:c r="J155" s="27" t="n">
        <x:f>F155+I155</x:f>
        <x:v>301.534</x:v>
      </x:c>
      <x:c r="K155" s="27" t="n">
        <x:f>E155*('Cost Build'!F9*(1-$G$13)+'Cost Build'!F21+'Cost Build'!F33)</x:f>
        <x:v>151.407828</x:v>
      </x:c>
      <x:c r="L155" s="27" t="n">
        <x:f>K155*(1+'Inputs'!$D$54)</x:f>
        <x:v>166.5486108</x:v>
      </x:c>
      <x:c r="M155" s="27" t="n">
        <x:f>E155*'Inputs'!$D$55</x:f>
        <x:v>4.5</x:v>
      </x:c>
      <x:c r="N155" s="27" t="n">
        <x:f>'Fleet'!$D$17</x:f>
        <x:v>14.5</x:v>
      </x:c>
      <x:c r="O155" s="27" t="n">
        <x:f>J155*'Inputs'!$D$56+'Inputs'!$D$57</x:f>
        <x:v>11.155224</x:v>
      </x:c>
      <x:c r="P155" s="27" t="n">
        <x:f>SUM(L155:O155)</x:f>
        <x:v>196.7038348</x:v>
      </x:c>
      <x:c r="Q155" s="27" t="n">
        <x:f>J155-P155</x:f>
        <x:v>104.83016519999998</x:v>
      </x:c>
      <x:c r="R155" s="33" t="n">
        <x:f>Q155/J155</x:f>
        <x:v>0.3476562019540084</x:v>
      </x:c>
      <x:c r="S155" s="27" t="n">
        <x:f>0</x:f>
        <x:v>0</x:v>
      </x:c>
      <x:c r="T155" s="27" t="n">
        <x:f>J155+S155</x:f>
        <x:v>301.534</x:v>
      </x:c>
    </x:row>
    <x:row r="156" ht="22" customHeight="1">
      <x:c r="A156" s="1"/>
      <x:c r="B156" s="1"/>
      <x:c r="C156" s="1" t="str">
        <x:v>Workspace + seats</x:v>
      </x:c>
      <x:c r="D156" s="1" t="str">
        <x:v>Heavy</x:v>
      </x:c>
      <x:c r="E156" s="1" t="n">
        <x:v>5</x:v>
      </x:c>
      <x:c r="F156" s="27" t="n">
        <x:f>IF($H$13&gt;0,$H$13+MAX(0,E156-$I$13)*$J$13,MAX(E156,'Inputs'!$D$9)*$D$13)</x:f>
        <x:v>99</x:v>
      </x:c>
      <x:c r="G156" s="27" t="n">
        <x:f>E156*'Cost Build'!F9*(1-$G$13)*$F$13</x:f>
        <x:v>318.78</x:v>
      </x:c>
      <x:c r="H156" s="27" t="n">
        <x:f>IF($H$13&gt;0,20,MAX(E156,'Inputs'!$D$9)*$E$13)</x:f>
        <x:v>20</x:v>
      </x:c>
      <x:c r="I156" s="27" t="n">
        <x:f>MAX(0,G156-H156)+E156*'Cost Build'!F52</x:f>
        <x:v>350.89</x:v>
      </x:c>
      <x:c r="J156" s="27" t="n">
        <x:f>F156+I156</x:f>
        <x:v>449.89</x:v>
      </x:c>
      <x:c r="K156" s="27" t="n">
        <x:f>E156*('Cost Build'!F9*(1-$G$13)+'Cost Build'!F21+'Cost Build'!F33)</x:f>
        <x:v>252.34638</x:v>
      </x:c>
      <x:c r="L156" s="27" t="n">
        <x:f>K156*(1+'Inputs'!$D$54)</x:f>
        <x:v>277.58101800000003</x:v>
      </x:c>
      <x:c r="M156" s="27" t="n">
        <x:f>E156*'Inputs'!$D$55</x:f>
        <x:v>7.5</x:v>
      </x:c>
      <x:c r="N156" s="27" t="n">
        <x:f>'Fleet'!$D$17</x:f>
        <x:v>14.5</x:v>
      </x:c>
      <x:c r="O156" s="27" t="n">
        <x:f>J156*'Inputs'!$D$56+'Inputs'!$D$57</x:f>
        <x:v>16.49604</x:v>
      </x:c>
      <x:c r="P156" s="27" t="n">
        <x:f>SUM(L156:O156)</x:f>
        <x:v>316.077058</x:v>
      </x:c>
      <x:c r="Q156" s="27" t="n">
        <x:f>J156-P156</x:f>
        <x:v>133.81294199999996</x:v>
      </x:c>
      <x:c r="R156" s="33" t="n">
        <x:f>Q156/J156</x:f>
        <x:v>0.29743479961768426</x:v>
      </x:c>
      <x:c r="S156" s="27" t="n">
        <x:f>0</x:f>
        <x:v>0</x:v>
      </x:c>
      <x:c r="T156" s="27" t="n">
        <x:f>J156+S156</x:f>
        <x:v>449.89</x:v>
      </x:c>
    </x:row>
    <x:row r="157" ht="22" customHeight="1">
      <x:c r="A157" s="1"/>
      <x:c r="B157" s="1"/>
      <x:c r="C157" s="1" t="str">
        <x:v>Workspace + seats</x:v>
      </x:c>
      <x:c r="D157" s="1" t="str">
        <x:v>Heavy</x:v>
      </x:c>
      <x:c r="E157" s="1" t="n">
        <x:v>10</x:v>
      </x:c>
      <x:c r="F157" s="27" t="n">
        <x:f>IF($H$13&gt;0,$H$13+MAX(0,E157-$I$13)*$J$13,MAX(E157,'Inputs'!$D$9)*$D$13)</x:f>
        <x:v>174</x:v>
      </x:c>
      <x:c r="G157" s="27" t="n">
        <x:f>E157*'Cost Build'!F9*(1-$G$13)*$F$13</x:f>
        <x:v>637.56</x:v>
      </x:c>
      <x:c r="H157" s="27" t="n">
        <x:f>IF($H$13&gt;0,20,MAX(E157,'Inputs'!$D$9)*$E$13)</x:f>
        <x:v>20</x:v>
      </x:c>
      <x:c r="I157" s="27" t="n">
        <x:f>MAX(0,G157-H157)+E157*'Cost Build'!F52</x:f>
        <x:v>721.78</x:v>
      </x:c>
      <x:c r="J157" s="27" t="n">
        <x:f>F157+I157</x:f>
        <x:v>895.78</x:v>
      </x:c>
      <x:c r="K157" s="27" t="n">
        <x:f>E157*('Cost Build'!F9*(1-$G$13)+'Cost Build'!F21+'Cost Build'!F33)</x:f>
        <x:v>504.69276</x:v>
      </x:c>
      <x:c r="L157" s="27" t="n">
        <x:f>K157*(1+'Inputs'!$D$54)</x:f>
        <x:v>555.1620360000001</x:v>
      </x:c>
      <x:c r="M157" s="27" t="n">
        <x:f>E157*'Inputs'!$D$55</x:f>
        <x:v>15</x:v>
      </x:c>
      <x:c r="N157" s="27" t="n">
        <x:f>'Fleet'!$D$17</x:f>
        <x:v>14.5</x:v>
      </x:c>
      <x:c r="O157" s="27" t="n">
        <x:f>J157*'Inputs'!$D$56+'Inputs'!$D$57</x:f>
        <x:v>32.54807999999999</x:v>
      </x:c>
      <x:c r="P157" s="27" t="n">
        <x:f>SUM(L157:O157)</x:f>
        <x:v>617.2101160000001</x:v>
      </x:c>
      <x:c r="Q157" s="27" t="n">
        <x:f>J157-P157</x:f>
        <x:v>278.5698839999999</x:v>
      </x:c>
      <x:c r="R157" s="33" t="n">
        <x:f>Q157/J157</x:f>
        <x:v>0.31098024514947853</x:v>
      </x:c>
      <x:c r="S157" s="27" t="n">
        <x:f>0</x:f>
        <x:v>0</x:v>
      </x:c>
      <x:c r="T157" s="27" t="n">
        <x:f>J157+S157</x:f>
        <x:v>895.78</x:v>
      </x:c>
    </x:row>
    <x:row r="158" ht="22" customHeight="1">
      <x:c r="A158" s="1"/>
      <x:c r="B158" s="1"/>
      <x:c r="C158" s="1" t="str">
        <x:v>Workspace + seats</x:v>
      </x:c>
      <x:c r="D158" s="1" t="str">
        <x:v>Heavy</x:v>
      </x:c>
      <x:c r="E158" s="1" t="n">
        <x:v>20</x:v>
      </x:c>
      <x:c r="F158" s="27" t="n">
        <x:f>IF($H$13&gt;0,$H$13+MAX(0,E158-$I$13)*$J$13,MAX(E158,'Inputs'!$D$9)*$D$13)</x:f>
        <x:v>324</x:v>
      </x:c>
      <x:c r="G158" s="27" t="n">
        <x:f>E158*'Cost Build'!F9*(1-$G$13)*$F$13</x:f>
        <x:v>1275.12</x:v>
      </x:c>
      <x:c r="H158" s="27" t="n">
        <x:f>IF($H$13&gt;0,20,MAX(E158,'Inputs'!$D$9)*$E$13)</x:f>
        <x:v>20</x:v>
      </x:c>
      <x:c r="I158" s="27" t="n">
        <x:f>MAX(0,G158-H158)+E158*'Cost Build'!F52</x:f>
        <x:v>1463.56</x:v>
      </x:c>
      <x:c r="J158" s="27" t="n">
        <x:f>F158+I158</x:f>
        <x:v>1787.56</x:v>
      </x:c>
      <x:c r="K158" s="27" t="n">
        <x:f>E158*('Cost Build'!F9*(1-$G$13)+'Cost Build'!F21+'Cost Build'!F33)</x:f>
        <x:v>1009.38552</x:v>
      </x:c>
      <x:c r="L158" s="27" t="n">
        <x:f>K158*(1+'Inputs'!$D$54)</x:f>
        <x:v>1110.3240720000001</x:v>
      </x:c>
      <x:c r="M158" s="27" t="n">
        <x:f>E158*'Inputs'!$D$55</x:f>
        <x:v>30</x:v>
      </x:c>
      <x:c r="N158" s="27" t="n">
        <x:f>'Fleet'!$D$17</x:f>
        <x:v>14.5</x:v>
      </x:c>
      <x:c r="O158" s="27" t="n">
        <x:f>J158*'Inputs'!$D$56+'Inputs'!$D$57</x:f>
        <x:v>64.65216</x:v>
      </x:c>
      <x:c r="P158" s="27" t="n">
        <x:f>SUM(L158:O158)</x:f>
        <x:v>1219.4762320000002</x:v>
      </x:c>
      <x:c r="Q158" s="27" t="n">
        <x:f>J158-P158</x:f>
        <x:v>568.0837679999997</x:v>
      </x:c>
      <x:c r="R158" s="33" t="n">
        <x:f>Q158/J158</x:f>
        <x:v>0.3177984336190113</x:v>
      </x:c>
      <x:c r="S158" s="27" t="n">
        <x:f>0</x:f>
        <x:v>0</x:v>
      </x:c>
      <x:c r="T158" s="27" t="n">
        <x:f>J158+S158</x:f>
        <x:v>1787.56</x:v>
      </x:c>
    </x:row>
    <x:row r="159" ht="22" customHeight="1">
      <x:c r="A159" s="1"/>
      <x:c r="B159" s="1"/>
      <x:c r="C159" s="1" t="str">
        <x:v>Workspace + seats</x:v>
      </x:c>
      <x:c r="D159" s="1" t="str">
        <x:v>Heavy</x:v>
      </x:c>
      <x:c r="E159" s="1" t="n">
        <x:v>50</x:v>
      </x:c>
      <x:c r="F159" s="27" t="n">
        <x:f>IF($H$13&gt;0,$H$13+MAX(0,E159-$I$13)*$J$13,MAX(E159,'Inputs'!$D$9)*$D$13)</x:f>
        <x:v>774</x:v>
      </x:c>
      <x:c r="G159" s="27" t="n">
        <x:f>E159*'Cost Build'!F9*(1-$G$13)*$F$13</x:f>
        <x:v>3187.7999999999997</x:v>
      </x:c>
      <x:c r="H159" s="27" t="n">
        <x:f>IF($H$13&gt;0,20,MAX(E159,'Inputs'!$D$9)*$E$13)</x:f>
        <x:v>20</x:v>
      </x:c>
      <x:c r="I159" s="27" t="n">
        <x:f>MAX(0,G159-H159)+E159*'Cost Build'!F52</x:f>
        <x:v>3688.8999999999996</x:v>
      </x:c>
      <x:c r="J159" s="27" t="n">
        <x:f>F159+I159</x:f>
        <x:v>4462.9</x:v>
      </x:c>
      <x:c r="K159" s="27" t="n">
        <x:f>E159*('Cost Build'!F9*(1-$G$13)+'Cost Build'!F21+'Cost Build'!F33)</x:f>
        <x:v>2523.4638</x:v>
      </x:c>
      <x:c r="L159" s="27" t="n">
        <x:f>K159*(1+'Inputs'!$D$54)</x:f>
        <x:v>2775.8101800000004</x:v>
      </x:c>
      <x:c r="M159" s="27" t="n">
        <x:f>E159*'Inputs'!$D$55</x:f>
        <x:v>75</x:v>
      </x:c>
      <x:c r="N159" s="27" t="n">
        <x:f>'Fleet'!$D$17</x:f>
        <x:v>14.5</x:v>
      </x:c>
      <x:c r="O159" s="27" t="n">
        <x:f>J159*'Inputs'!$D$56+'Inputs'!$D$57</x:f>
        <x:v>160.96439999999998</x:v>
      </x:c>
      <x:c r="P159" s="27" t="n">
        <x:f>SUM(L159:O159)</x:f>
        <x:v>3026.2745800000002</x:v>
      </x:c>
      <x:c r="Q159" s="27" t="n">
        <x:f>J159-P159</x:f>
        <x:v>1436.6254199999994</x:v>
      </x:c>
      <x:c r="R159" s="33" t="n">
        <x:f>Q159/J159</x:f>
        <x:v>0.3219040130856617</x:v>
      </x:c>
      <x:c r="S159" s="27" t="n">
        <x:f>0</x:f>
        <x:v>0</x:v>
      </x:c>
      <x:c r="T159" s="27" t="n">
        <x:f>J159+S159</x:f>
        <x:v>4462.9</x:v>
      </x:c>
    </x:row>
    <x:row r="160" ht="22" customHeight="1">
      <x:c r="A160" s="1"/>
      <x:c r="B160" s="1"/>
      <x:c r="C160" s="1" t="str">
        <x:v>Workspace + seats</x:v>
      </x:c>
      <x:c r="D160" s="1" t="str">
        <x:v>Heavy</x:v>
      </x:c>
      <x:c r="E160" s="1" t="n">
        <x:v>100</x:v>
      </x:c>
      <x:c r="F160" s="27" t="n">
        <x:f>IF($H$13&gt;0,$H$13+MAX(0,E160-$I$13)*$J$13,MAX(E160,'Inputs'!$D$9)*$D$13)</x:f>
        <x:v>1524</x:v>
      </x:c>
      <x:c r="G160" s="27" t="n">
        <x:f>E160*'Cost Build'!F9*(1-$G$13)*$F$13</x:f>
        <x:v>6375.599999999999</x:v>
      </x:c>
      <x:c r="H160" s="27" t="n">
        <x:f>IF($H$13&gt;0,20,MAX(E160,'Inputs'!$D$9)*$E$13)</x:f>
        <x:v>20</x:v>
      </x:c>
      <x:c r="I160" s="27" t="n">
        <x:f>MAX(0,G160-H160)+E160*'Cost Build'!F52</x:f>
        <x:v>7397.799999999999</x:v>
      </x:c>
      <x:c r="J160" s="27" t="n">
        <x:f>F160+I160</x:f>
        <x:v>8921.8</x:v>
      </x:c>
      <x:c r="K160" s="27" t="n">
        <x:f>E160*('Cost Build'!F9*(1-$G$13)+'Cost Build'!F21+'Cost Build'!F33)</x:f>
        <x:v>5046.9276</x:v>
      </x:c>
      <x:c r="L160" s="27" t="n">
        <x:f>K160*(1+'Inputs'!$D$54)</x:f>
        <x:v>5551.620360000001</x:v>
      </x:c>
      <x:c r="M160" s="27" t="n">
        <x:f>E160*'Inputs'!$D$55</x:f>
        <x:v>150</x:v>
      </x:c>
      <x:c r="N160" s="27" t="n">
        <x:f>'Fleet'!$D$17</x:f>
        <x:v>14.5</x:v>
      </x:c>
      <x:c r="O160" s="27" t="n">
        <x:f>J160*'Inputs'!$D$56+'Inputs'!$D$57</x:f>
        <x:v>321.48479999999995</x:v>
      </x:c>
      <x:c r="P160" s="27" t="n">
        <x:f>SUM(L160:O160)</x:f>
        <x:v>6037.605160000001</x:v>
      </x:c>
      <x:c r="Q160" s="27" t="n">
        <x:f>J160-P160</x:f>
        <x:v>2884.1948399999983</x:v>
      </x:c>
      <x:c r="R160" s="33" t="n">
        <x:f>Q160/J160</x:f>
        <x:v>0.32327499383532454</x:v>
      </x:c>
      <x:c r="S160" s="27" t="n">
        <x:f>0</x:f>
        <x:v>0</x:v>
      </x:c>
      <x:c r="T160" s="27" t="n">
        <x:f>J160+S160</x:f>
        <x:v>8921.8</x:v>
      </x:c>
    </x:row>
    <x:row r="161" ht="22" customHeight="1">
      <x:c r="A161" s="1"/>
      <x:c r="B161" s="1"/>
      <x:c r="C161" s="1" t="str">
        <x:v>Same bundle $39</x:v>
      </x:c>
      <x:c r="D161" s="1" t="str">
        <x:v>Light</x:v>
      </x:c>
      <x:c r="E161" s="1" t="n">
        <x:v>3</x:v>
      </x:c>
      <x:c r="F161" s="27" t="n">
        <x:f>IF($H$14&gt;0,$H$14+MAX(0,E161-$I$14)*$J$14,MAX(E161,'Inputs'!$D$9)*$D$14)</x:f>
        <x:v>117</x:v>
      </x:c>
      <x:c r="G161" s="27" t="n">
        <x:f>E161*'Cost Build'!D9*(1-$G$14)*$F$14</x:f>
        <x:v>14.345100000000002</x:v>
      </x:c>
      <x:c r="H161" s="27" t="n">
        <x:f>IF($H$14&gt;0,20,MAX(E161,'Inputs'!$D$9)*$E$14)</x:f>
        <x:v>30</x:v>
      </x:c>
      <x:c r="I161" s="27" t="n">
        <x:f>MAX(0,G161-H161)+E161*'Cost Build'!D52</x:f>
        <x:v>0</x:v>
      </x:c>
      <x:c r="J161" s="27" t="n">
        <x:f>F161+I161</x:f>
        <x:v>117</x:v>
      </x:c>
      <x:c r="K161" s="27" t="n">
        <x:f>E161*('Cost Build'!D9*(1-$G$14)+'Cost Build'!D21+'Cost Build'!D33)</x:f>
        <x:v>12.409656239999999</x:v>
      </x:c>
      <x:c r="L161" s="27" t="n">
        <x:f>K161*(1+'Inputs'!$D$54)</x:f>
        <x:v>13.650621864</x:v>
      </x:c>
      <x:c r="M161" s="27" t="n">
        <x:f>E161*'Inputs'!$D$55</x:f>
        <x:v>4.5</x:v>
      </x:c>
      <x:c r="N161" s="27" t="n">
        <x:f>'Fleet'!$D$17</x:f>
        <x:v>14.5</x:v>
      </x:c>
      <x:c r="O161" s="27" t="n">
        <x:f>J161*'Inputs'!$D$56+'Inputs'!$D$57</x:f>
        <x:v>4.512</x:v>
      </x:c>
      <x:c r="P161" s="27" t="n">
        <x:f>SUM(L161:O161)</x:f>
        <x:v>37.162621864</x:v>
      </x:c>
      <x:c r="Q161" s="27" t="n">
        <x:f>J161-P161</x:f>
        <x:v>79.837378136</x:v>
      </x:c>
      <x:c r="R161" s="33" t="n">
        <x:f>Q161/J161</x:f>
        <x:v>0.6823707532991453</x:v>
      </x:c>
      <x:c r="S161" s="27" t="n">
        <x:f>0</x:f>
        <x:v>0</x:v>
      </x:c>
      <x:c r="T161" s="27" t="n">
        <x:f>J161+S161</x:f>
        <x:v>117</x:v>
      </x:c>
    </x:row>
    <x:row r="162" ht="22" customHeight="1">
      <x:c r="A162" s="1"/>
      <x:c r="B162" s="1"/>
      <x:c r="C162" s="1" t="str">
        <x:v>Same bundle $39</x:v>
      </x:c>
      <x:c r="D162" s="1" t="str">
        <x:v>Light</x:v>
      </x:c>
      <x:c r="E162" s="1" t="n">
        <x:v>5</x:v>
      </x:c>
      <x:c r="F162" s="27" t="n">
        <x:f>IF($H$14&gt;0,$H$14+MAX(0,E162-$I$14)*$J$14,MAX(E162,'Inputs'!$D$9)*$D$14)</x:f>
        <x:v>195</x:v>
      </x:c>
      <x:c r="G162" s="27" t="n">
        <x:f>E162*'Cost Build'!D9*(1-$G$14)*$F$14</x:f>
        <x:v>23.9085</x:v>
      </x:c>
      <x:c r="H162" s="27" t="n">
        <x:f>IF($H$14&gt;0,20,MAX(E162,'Inputs'!$D$9)*$E$14)</x:f>
        <x:v>50</x:v>
      </x:c>
      <x:c r="I162" s="27" t="n">
        <x:f>MAX(0,G162-H162)+E162*'Cost Build'!D52</x:f>
        <x:v>0</x:v>
      </x:c>
      <x:c r="J162" s="27" t="n">
        <x:f>F162+I162</x:f>
        <x:v>195</x:v>
      </x:c>
      <x:c r="K162" s="27" t="n">
        <x:f>E162*('Cost Build'!D9*(1-$G$14)+'Cost Build'!D21+'Cost Build'!D33)</x:f>
        <x:v>20.6827604</x:v>
      </x:c>
      <x:c r="L162" s="27" t="n">
        <x:f>K162*(1+'Inputs'!$D$54)</x:f>
        <x:v>22.75103644</x:v>
      </x:c>
      <x:c r="M162" s="27" t="n">
        <x:f>E162*'Inputs'!$D$55</x:f>
        <x:v>7.5</x:v>
      </x:c>
      <x:c r="N162" s="27" t="n">
        <x:f>'Fleet'!$D$17</x:f>
        <x:v>14.5</x:v>
      </x:c>
      <x:c r="O162" s="27" t="n">
        <x:f>J162*'Inputs'!$D$56+'Inputs'!$D$57</x:f>
        <x:v>7.319999999999999</x:v>
      </x:c>
      <x:c r="P162" s="27" t="n">
        <x:f>SUM(L162:O162)</x:f>
        <x:v>52.07103644</x:v>
      </x:c>
      <x:c r="Q162" s="27" t="n">
        <x:f>J162-P162</x:f>
        <x:v>142.92896356</x:v>
      </x:c>
      <x:c r="R162" s="33" t="n">
        <x:f>Q162/J162</x:f>
        <x:v>0.7329690438974359</x:v>
      </x:c>
      <x:c r="S162" s="27" t="n">
        <x:f>0</x:f>
        <x:v>0</x:v>
      </x:c>
      <x:c r="T162" s="27" t="n">
        <x:f>J162+S162</x:f>
        <x:v>195</x:v>
      </x:c>
    </x:row>
    <x:row r="163" ht="22" customHeight="1">
      <x:c r="A163" s="1"/>
      <x:c r="B163" s="1"/>
      <x:c r="C163" s="1" t="str">
        <x:v>Same bundle $39</x:v>
      </x:c>
      <x:c r="D163" s="1" t="str">
        <x:v>Light</x:v>
      </x:c>
      <x:c r="E163" s="1" t="n">
        <x:v>10</x:v>
      </x:c>
      <x:c r="F163" s="27" t="n">
        <x:f>IF($H$14&gt;0,$H$14+MAX(0,E163-$I$14)*$J$14,MAX(E163,'Inputs'!$D$9)*$D$14)</x:f>
        <x:v>390</x:v>
      </x:c>
      <x:c r="G163" s="27" t="n">
        <x:f>E163*'Cost Build'!D9*(1-$G$14)*$F$14</x:f>
        <x:v>47.817</x:v>
      </x:c>
      <x:c r="H163" s="27" t="n">
        <x:f>IF($H$14&gt;0,20,MAX(E163,'Inputs'!$D$9)*$E$14)</x:f>
        <x:v>100</x:v>
      </x:c>
      <x:c r="I163" s="27" t="n">
        <x:f>MAX(0,G163-H163)+E163*'Cost Build'!D52</x:f>
        <x:v>0</x:v>
      </x:c>
      <x:c r="J163" s="27" t="n">
        <x:f>F163+I163</x:f>
        <x:v>390</x:v>
      </x:c>
      <x:c r="K163" s="27" t="n">
        <x:f>E163*('Cost Build'!D9*(1-$G$14)+'Cost Build'!D21+'Cost Build'!D33)</x:f>
        <x:v>41.3655208</x:v>
      </x:c>
      <x:c r="L163" s="27" t="n">
        <x:f>K163*(1+'Inputs'!$D$54)</x:f>
        <x:v>45.50207288</x:v>
      </x:c>
      <x:c r="M163" s="27" t="n">
        <x:f>E163*'Inputs'!$D$55</x:f>
        <x:v>15</x:v>
      </x:c>
      <x:c r="N163" s="27" t="n">
        <x:f>'Fleet'!$D$17</x:f>
        <x:v>14.5</x:v>
      </x:c>
      <x:c r="O163" s="27" t="n">
        <x:f>J163*'Inputs'!$D$56+'Inputs'!$D$57</x:f>
        <x:v>14.34</x:v>
      </x:c>
      <x:c r="P163" s="27" t="n">
        <x:f>SUM(L163:O163)</x:f>
        <x:v>89.34207288</x:v>
      </x:c>
      <x:c r="Q163" s="27" t="n">
        <x:f>J163-P163</x:f>
        <x:v>300.65792712</x:v>
      </x:c>
      <x:c r="R163" s="33" t="n">
        <x:f>Q163/J163</x:f>
        <x:v>0.7709177618461539</x:v>
      </x:c>
      <x:c r="S163" s="27" t="n">
        <x:f>0</x:f>
        <x:v>0</x:v>
      </x:c>
      <x:c r="T163" s="27" t="n">
        <x:f>J163+S163</x:f>
        <x:v>390</x:v>
      </x:c>
    </x:row>
    <x:row r="164" ht="22" customHeight="1">
      <x:c r="A164" s="1"/>
      <x:c r="B164" s="1"/>
      <x:c r="C164" s="1" t="str">
        <x:v>Same bundle $39</x:v>
      </x:c>
      <x:c r="D164" s="1" t="str">
        <x:v>Light</x:v>
      </x:c>
      <x:c r="E164" s="1" t="n">
        <x:v>20</x:v>
      </x:c>
      <x:c r="F164" s="27" t="n">
        <x:f>IF($H$14&gt;0,$H$14+MAX(0,E164-$I$14)*$J$14,MAX(E164,'Inputs'!$D$9)*$D$14)</x:f>
        <x:v>780</x:v>
      </x:c>
      <x:c r="G164" s="27" t="n">
        <x:f>E164*'Cost Build'!D9*(1-$G$14)*$F$14</x:f>
        <x:v>95.634</x:v>
      </x:c>
      <x:c r="H164" s="27" t="n">
        <x:f>IF($H$14&gt;0,20,MAX(E164,'Inputs'!$D$9)*$E$14)</x:f>
        <x:v>200</x:v>
      </x:c>
      <x:c r="I164" s="27" t="n">
        <x:f>MAX(0,G164-H164)+E164*'Cost Build'!D52</x:f>
        <x:v>0</x:v>
      </x:c>
      <x:c r="J164" s="27" t="n">
        <x:f>F164+I164</x:f>
        <x:v>780</x:v>
      </x:c>
      <x:c r="K164" s="27" t="n">
        <x:f>E164*('Cost Build'!D9*(1-$G$14)+'Cost Build'!D21+'Cost Build'!D33)</x:f>
        <x:v>82.7310416</x:v>
      </x:c>
      <x:c r="L164" s="27" t="n">
        <x:f>K164*(1+'Inputs'!$D$54)</x:f>
        <x:v>91.00414576</x:v>
      </x:c>
      <x:c r="M164" s="27" t="n">
        <x:f>E164*'Inputs'!$D$55</x:f>
        <x:v>30</x:v>
      </x:c>
      <x:c r="N164" s="27" t="n">
        <x:f>'Fleet'!$D$17</x:f>
        <x:v>14.5</x:v>
      </x:c>
      <x:c r="O164" s="27" t="n">
        <x:f>J164*'Inputs'!$D$56+'Inputs'!$D$57</x:f>
        <x:v>28.38</x:v>
      </x:c>
      <x:c r="P164" s="27" t="n">
        <x:f>SUM(L164:O164)</x:f>
        <x:v>163.88414576</x:v>
      </x:c>
      <x:c r="Q164" s="27" t="n">
        <x:f>J164-P164</x:f>
        <x:v>616.11585424</x:v>
      </x:c>
      <x:c r="R164" s="33" t="n">
        <x:f>Q164/J164</x:f>
        <x:v>0.7898921208205127</x:v>
      </x:c>
      <x:c r="S164" s="27" t="n">
        <x:f>0</x:f>
        <x:v>0</x:v>
      </x:c>
      <x:c r="T164" s="27" t="n">
        <x:f>J164+S164</x:f>
        <x:v>780</x:v>
      </x:c>
    </x:row>
    <x:row r="165" ht="22" customHeight="1">
      <x:c r="A165" s="1"/>
      <x:c r="B165" s="1"/>
      <x:c r="C165" s="1" t="str">
        <x:v>Same bundle $39</x:v>
      </x:c>
      <x:c r="D165" s="1" t="str">
        <x:v>Light</x:v>
      </x:c>
      <x:c r="E165" s="1" t="n">
        <x:v>50</x:v>
      </x:c>
      <x:c r="F165" s="27" t="n">
        <x:f>IF($H$14&gt;0,$H$14+MAX(0,E165-$I$14)*$J$14,MAX(E165,'Inputs'!$D$9)*$D$14)</x:f>
        <x:v>1950</x:v>
      </x:c>
      <x:c r="G165" s="27" t="n">
        <x:f>E165*'Cost Build'!D9*(1-$G$14)*$F$14</x:f>
        <x:v>239.08500000000004</x:v>
      </x:c>
      <x:c r="H165" s="27" t="n">
        <x:f>IF($H$14&gt;0,20,MAX(E165,'Inputs'!$D$9)*$E$14)</x:f>
        <x:v>500</x:v>
      </x:c>
      <x:c r="I165" s="27" t="n">
        <x:f>MAX(0,G165-H165)+E165*'Cost Build'!D52</x:f>
        <x:v>0</x:v>
      </x:c>
      <x:c r="J165" s="27" t="n">
        <x:f>F165+I165</x:f>
        <x:v>1950</x:v>
      </x:c>
      <x:c r="K165" s="27" t="n">
        <x:f>E165*('Cost Build'!D9*(1-$G$14)+'Cost Build'!D21+'Cost Build'!D33)</x:f>
        <x:v>206.82760399999998</x:v>
      </x:c>
      <x:c r="L165" s="27" t="n">
        <x:f>K165*(1+'Inputs'!$D$54)</x:f>
        <x:v>227.5103644</x:v>
      </x:c>
      <x:c r="M165" s="27" t="n">
        <x:f>E165*'Inputs'!$D$55</x:f>
        <x:v>75</x:v>
      </x:c>
      <x:c r="N165" s="27" t="n">
        <x:f>'Fleet'!$D$17</x:f>
        <x:v>14.5</x:v>
      </x:c>
      <x:c r="O165" s="27" t="n">
        <x:f>J165*'Inputs'!$D$56+'Inputs'!$D$57</x:f>
        <x:v>70.49999999999999</x:v>
      </x:c>
      <x:c r="P165" s="27" t="n">
        <x:f>SUM(L165:O165)</x:f>
        <x:v>387.51036439999996</x:v>
      </x:c>
      <x:c r="Q165" s="27" t="n">
        <x:f>J165-P165</x:f>
        <x:v>1562.4896356</x:v>
      </x:c>
      <x:c r="R165" s="33" t="n">
        <x:f>Q165/J165</x:f>
        <x:v>0.8012767362051282</x:v>
      </x:c>
      <x:c r="S165" s="27" t="n">
        <x:f>0</x:f>
        <x:v>0</x:v>
      </x:c>
      <x:c r="T165" s="27" t="n">
        <x:f>J165+S165</x:f>
        <x:v>1950</x:v>
      </x:c>
    </x:row>
    <x:row r="166" ht="22" customHeight="1">
      <x:c r="A166" s="1"/>
      <x:c r="B166" s="1"/>
      <x:c r="C166" s="1" t="str">
        <x:v>Same bundle $39</x:v>
      </x:c>
      <x:c r="D166" s="1" t="str">
        <x:v>Light</x:v>
      </x:c>
      <x:c r="E166" s="1" t="n">
        <x:v>100</x:v>
      </x:c>
      <x:c r="F166" s="27" t="n">
        <x:f>IF($H$14&gt;0,$H$14+MAX(0,E166-$I$14)*$J$14,MAX(E166,'Inputs'!$D$9)*$D$14)</x:f>
        <x:v>3900</x:v>
      </x:c>
      <x:c r="G166" s="27" t="n">
        <x:f>E166*'Cost Build'!D9*(1-$G$14)*$F$14</x:f>
        <x:v>478.1700000000001</x:v>
      </x:c>
      <x:c r="H166" s="27" t="n">
        <x:f>IF($H$14&gt;0,20,MAX(E166,'Inputs'!$D$9)*$E$14)</x:f>
        <x:v>1000</x:v>
      </x:c>
      <x:c r="I166" s="27" t="n">
        <x:f>MAX(0,G166-H166)+E166*'Cost Build'!D52</x:f>
        <x:v>0</x:v>
      </x:c>
      <x:c r="J166" s="27" t="n">
        <x:f>F166+I166</x:f>
        <x:v>3900</x:v>
      </x:c>
      <x:c r="K166" s="27" t="n">
        <x:f>E166*('Cost Build'!D9*(1-$G$14)+'Cost Build'!D21+'Cost Build'!D33)</x:f>
        <x:v>413.65520799999996</x:v>
      </x:c>
      <x:c r="L166" s="27" t="n">
        <x:f>K166*(1+'Inputs'!$D$54)</x:f>
        <x:v>455.0207288</x:v>
      </x:c>
      <x:c r="M166" s="27" t="n">
        <x:f>E166*'Inputs'!$D$55</x:f>
        <x:v>150</x:v>
      </x:c>
      <x:c r="N166" s="27" t="n">
        <x:f>'Fleet'!$D$17</x:f>
        <x:v>14.5</x:v>
      </x:c>
      <x:c r="O166" s="27" t="n">
        <x:f>J166*'Inputs'!$D$56+'Inputs'!$D$57</x:f>
        <x:v>140.7</x:v>
      </x:c>
      <x:c r="P166" s="27" t="n">
        <x:f>SUM(L166:O166)</x:f>
        <x:v>760.2207288</x:v>
      </x:c>
      <x:c r="Q166" s="27" t="n">
        <x:f>J166-P166</x:f>
        <x:v>3139.7792712</x:v>
      </x:c>
      <x:c r="R166" s="33" t="n">
        <x:f>Q166/J166</x:f>
        <x:v>0.805071608</x:v>
      </x:c>
      <x:c r="S166" s="27" t="n">
        <x:f>0</x:f>
        <x:v>0</x:v>
      </x:c>
      <x:c r="T166" s="27" t="n">
        <x:f>J166+S166</x:f>
        <x:v>3900</x:v>
      </x:c>
    </x:row>
    <x:row r="167" ht="22" customHeight="1">
      <x:c r="A167" s="1"/>
      <x:c r="B167" s="1"/>
      <x:c r="C167" s="1" t="str">
        <x:v>Same bundle $39</x:v>
      </x:c>
      <x:c r="D167" s="1" t="str">
        <x:v>Typical</x:v>
      </x:c>
      <x:c r="E167" s="1" t="n">
        <x:v>3</x:v>
      </x:c>
      <x:c r="F167" s="27" t="n">
        <x:f>IF($H$14&gt;0,$H$14+MAX(0,E167-$I$14)*$J$14,MAX(E167,'Inputs'!$D$9)*$D$14)</x:f>
        <x:v>117</x:v>
      </x:c>
      <x:c r="G167" s="27" t="n">
        <x:f>E167*'Cost Build'!E9*(1-$G$14)*$F$14</x:f>
        <x:v>45.8703</x:v>
      </x:c>
      <x:c r="H167" s="27" t="n">
        <x:f>IF($H$14&gt;0,20,MAX(E167,'Inputs'!$D$9)*$E$14)</x:f>
        <x:v>30</x:v>
      </x:c>
      <x:c r="I167" s="27" t="n">
        <x:f>MAX(0,G167-H167)+E167*'Cost Build'!E52</x:f>
        <x:v>15.8703</x:v>
      </x:c>
      <x:c r="J167" s="27" t="n">
        <x:f>F167+I167</x:f>
        <x:v>132.8703</x:v>
      </x:c>
      <x:c r="K167" s="27" t="n">
        <x:f>E167*('Cost Build'!E9*(1-$G$14)+'Cost Build'!E21+'Cost Build'!E33)</x:f>
        <x:v>39.9961062</x:v>
      </x:c>
      <x:c r="L167" s="27" t="n">
        <x:f>K167*(1+'Inputs'!$D$54)</x:f>
        <x:v>43.995716820000005</x:v>
      </x:c>
      <x:c r="M167" s="27" t="n">
        <x:f>E167*'Inputs'!$D$55</x:f>
        <x:v>4.5</x:v>
      </x:c>
      <x:c r="N167" s="27" t="n">
        <x:f>'Fleet'!$D$17</x:f>
        <x:v>14.5</x:v>
      </x:c>
      <x:c r="O167" s="27" t="n">
        <x:f>J167*'Inputs'!$D$56+'Inputs'!$D$57</x:f>
        <x:v>5.083330799999999</x:v>
      </x:c>
      <x:c r="P167" s="27" t="n">
        <x:f>SUM(L167:O167)</x:f>
        <x:v>68.07904762000001</x:v>
      </x:c>
      <x:c r="Q167" s="27" t="n">
        <x:f>J167-P167</x:f>
        <x:v>64.79125237999997</x:v>
      </x:c>
      <x:c r="R167" s="33" t="n">
        <x:f>Q167/J167</x:f>
        <x:v>0.48762780230043873</x:v>
      </x:c>
      <x:c r="S167" s="27" t="n">
        <x:f>0</x:f>
        <x:v>0</x:v>
      </x:c>
      <x:c r="T167" s="27" t="n">
        <x:f>J167+S167</x:f>
        <x:v>132.8703</x:v>
      </x:c>
    </x:row>
    <x:row r="168" ht="22" customHeight="1">
      <x:c r="A168" s="1"/>
      <x:c r="B168" s="1"/>
      <x:c r="C168" s="1" t="str">
        <x:v>Same bundle $39</x:v>
      </x:c>
      <x:c r="D168" s="1" t="str">
        <x:v>Typical</x:v>
      </x:c>
      <x:c r="E168" s="1" t="n">
        <x:v>5</x:v>
      </x:c>
      <x:c r="F168" s="27" t="n">
        <x:f>IF($H$14&gt;0,$H$14+MAX(0,E168-$I$14)*$J$14,MAX(E168,'Inputs'!$D$9)*$D$14)</x:f>
        <x:v>195</x:v>
      </x:c>
      <x:c r="G168" s="27" t="n">
        <x:f>E168*'Cost Build'!E9*(1-$G$14)*$F$14</x:f>
        <x:v>76.45049999999999</x:v>
      </x:c>
      <x:c r="H168" s="27" t="n">
        <x:f>IF($H$14&gt;0,20,MAX(E168,'Inputs'!$D$9)*$E$14)</x:f>
        <x:v>50</x:v>
      </x:c>
      <x:c r="I168" s="27" t="n">
        <x:f>MAX(0,G168-H168)+E168*'Cost Build'!E52</x:f>
        <x:v>26.45049999999999</x:v>
      </x:c>
      <x:c r="J168" s="27" t="n">
        <x:f>F168+I168</x:f>
        <x:v>221.45049999999998</x:v>
      </x:c>
      <x:c r="K168" s="27" t="n">
        <x:f>E168*('Cost Build'!E9*(1-$G$14)+'Cost Build'!E21+'Cost Build'!E33)</x:f>
        <x:v>66.66017699999999</x:v>
      </x:c>
      <x:c r="L168" s="27" t="n">
        <x:f>K168*(1+'Inputs'!$D$54)</x:f>
        <x:v>73.3261947</x:v>
      </x:c>
      <x:c r="M168" s="27" t="n">
        <x:f>E168*'Inputs'!$D$55</x:f>
        <x:v>7.5</x:v>
      </x:c>
      <x:c r="N168" s="27" t="n">
        <x:f>'Fleet'!$D$17</x:f>
        <x:v>14.5</x:v>
      </x:c>
      <x:c r="O168" s="27" t="n">
        <x:f>J168*'Inputs'!$D$56+'Inputs'!$D$57</x:f>
        <x:v>8.272217999999999</x:v>
      </x:c>
      <x:c r="P168" s="27" t="n">
        <x:f>SUM(L168:O168)</x:f>
        <x:v>103.5984127</x:v>
      </x:c>
      <x:c r="Q168" s="27" t="n">
        <x:f>J168-P168</x:f>
        <x:v>117.85208729999998</x:v>
      </x:c>
      <x:c r="R168" s="33" t="n">
        <x:f>Q168/J168</x:f>
        <x:v>0.5321825297301203</x:v>
      </x:c>
      <x:c r="S168" s="27" t="n">
        <x:f>0</x:f>
        <x:v>0</x:v>
      </x:c>
      <x:c r="T168" s="27" t="n">
        <x:f>J168+S168</x:f>
        <x:v>221.45049999999998</x:v>
      </x:c>
    </x:row>
    <x:row r="169" ht="22" customHeight="1">
      <x:c r="A169" s="1"/>
      <x:c r="B169" s="1"/>
      <x:c r="C169" s="1" t="str">
        <x:v>Same bundle $39</x:v>
      </x:c>
      <x:c r="D169" s="1" t="str">
        <x:v>Typical</x:v>
      </x:c>
      <x:c r="E169" s="1" t="n">
        <x:v>10</x:v>
      </x:c>
      <x:c r="F169" s="27" t="n">
        <x:f>IF($H$14&gt;0,$H$14+MAX(0,E169-$I$14)*$J$14,MAX(E169,'Inputs'!$D$9)*$D$14)</x:f>
        <x:v>390</x:v>
      </x:c>
      <x:c r="G169" s="27" t="n">
        <x:f>E169*'Cost Build'!E9*(1-$G$14)*$F$14</x:f>
        <x:v>152.90099999999998</x:v>
      </x:c>
      <x:c r="H169" s="27" t="n">
        <x:f>IF($H$14&gt;0,20,MAX(E169,'Inputs'!$D$9)*$E$14)</x:f>
        <x:v>100</x:v>
      </x:c>
      <x:c r="I169" s="27" t="n">
        <x:f>MAX(0,G169-H169)+E169*'Cost Build'!E52</x:f>
        <x:v>52.90099999999998</x:v>
      </x:c>
      <x:c r="J169" s="27" t="n">
        <x:f>F169+I169</x:f>
        <x:v>442.90099999999995</x:v>
      </x:c>
      <x:c r="K169" s="27" t="n">
        <x:f>E169*('Cost Build'!E9*(1-$G$14)+'Cost Build'!E21+'Cost Build'!E33)</x:f>
        <x:v>133.32035399999998</x:v>
      </x:c>
      <x:c r="L169" s="27" t="n">
        <x:f>K169*(1+'Inputs'!$D$54)</x:f>
        <x:v>146.6523894</x:v>
      </x:c>
      <x:c r="M169" s="27" t="n">
        <x:f>E169*'Inputs'!$D$55</x:f>
        <x:v>15</x:v>
      </x:c>
      <x:c r="N169" s="27" t="n">
        <x:f>'Fleet'!$D$17</x:f>
        <x:v>14.5</x:v>
      </x:c>
      <x:c r="O169" s="27" t="n">
        <x:f>J169*'Inputs'!$D$56+'Inputs'!$D$57</x:f>
        <x:v>16.244435999999997</x:v>
      </x:c>
      <x:c r="P169" s="27" t="n">
        <x:f>SUM(L169:O169)</x:f>
        <x:v>192.3968254</x:v>
      </x:c>
      <x:c r="Q169" s="27" t="n">
        <x:f>J169-P169</x:f>
        <x:v>250.50417459999994</x:v>
      </x:c>
      <x:c r="R169" s="33" t="n">
        <x:f>Q169/J169</x:f>
        <x:v>0.5655985753023812</x:v>
      </x:c>
      <x:c r="S169" s="27" t="n">
        <x:f>0</x:f>
        <x:v>0</x:v>
      </x:c>
      <x:c r="T169" s="27" t="n">
        <x:f>J169+S169</x:f>
        <x:v>442.90099999999995</x:v>
      </x:c>
    </x:row>
    <x:row r="170" ht="22" customHeight="1">
      <x:c r="A170" s="1"/>
      <x:c r="B170" s="1"/>
      <x:c r="C170" s="1" t="str">
        <x:v>Same bundle $39</x:v>
      </x:c>
      <x:c r="D170" s="1" t="str">
        <x:v>Typical</x:v>
      </x:c>
      <x:c r="E170" s="1" t="n">
        <x:v>20</x:v>
      </x:c>
      <x:c r="F170" s="27" t="n">
        <x:f>IF($H$14&gt;0,$H$14+MAX(0,E170-$I$14)*$J$14,MAX(E170,'Inputs'!$D$9)*$D$14)</x:f>
        <x:v>780</x:v>
      </x:c>
      <x:c r="G170" s="27" t="n">
        <x:f>E170*'Cost Build'!E9*(1-$G$14)*$F$14</x:f>
        <x:v>305.80199999999996</x:v>
      </x:c>
      <x:c r="H170" s="27" t="n">
        <x:f>IF($H$14&gt;0,20,MAX(E170,'Inputs'!$D$9)*$E$14)</x:f>
        <x:v>200</x:v>
      </x:c>
      <x:c r="I170" s="27" t="n">
        <x:f>MAX(0,G170-H170)+E170*'Cost Build'!E52</x:f>
        <x:v>105.80199999999996</x:v>
      </x:c>
      <x:c r="J170" s="27" t="n">
        <x:f>F170+I170</x:f>
        <x:v>885.8019999999999</x:v>
      </x:c>
      <x:c r="K170" s="27" t="n">
        <x:f>E170*('Cost Build'!E9*(1-$G$14)+'Cost Build'!E21+'Cost Build'!E33)</x:f>
        <x:v>266.64070799999996</x:v>
      </x:c>
      <x:c r="L170" s="27" t="n">
        <x:f>K170*(1+'Inputs'!$D$54)</x:f>
        <x:v>293.3047788</x:v>
      </x:c>
      <x:c r="M170" s="27" t="n">
        <x:f>E170*'Inputs'!$D$55</x:f>
        <x:v>30</x:v>
      </x:c>
      <x:c r="N170" s="27" t="n">
        <x:f>'Fleet'!$D$17</x:f>
        <x:v>14.5</x:v>
      </x:c>
      <x:c r="O170" s="27" t="n">
        <x:f>J170*'Inputs'!$D$56+'Inputs'!$D$57</x:f>
        <x:v>32.188871999999996</x:v>
      </x:c>
      <x:c r="P170" s="27" t="n">
        <x:f>SUM(L170:O170)</x:f>
        <x:v>369.9936508</x:v>
      </x:c>
      <x:c r="Q170" s="27" t="n">
        <x:f>J170-P170</x:f>
        <x:v>515.8083491999998</x:v>
      </x:c>
      <x:c r="R170" s="33" t="n">
        <x:f>Q170/J170</x:f>
        <x:v>0.5823065980885117</x:v>
      </x:c>
      <x:c r="S170" s="27" t="n">
        <x:f>0</x:f>
        <x:v>0</x:v>
      </x:c>
      <x:c r="T170" s="27" t="n">
        <x:f>J170+S170</x:f>
        <x:v>885.8019999999999</x:v>
      </x:c>
    </x:row>
    <x:row r="171" ht="22" customHeight="1">
      <x:c r="A171" s="1"/>
      <x:c r="B171" s="1"/>
      <x:c r="C171" s="1" t="str">
        <x:v>Same bundle $39</x:v>
      </x:c>
      <x:c r="D171" s="1" t="str">
        <x:v>Typical</x:v>
      </x:c>
      <x:c r="E171" s="1" t="n">
        <x:v>50</x:v>
      </x:c>
      <x:c r="F171" s="27" t="n">
        <x:f>IF($H$14&gt;0,$H$14+MAX(0,E171-$I$14)*$J$14,MAX(E171,'Inputs'!$D$9)*$D$14)</x:f>
        <x:v>1950</x:v>
      </x:c>
      <x:c r="G171" s="27" t="n">
        <x:f>E171*'Cost Build'!E9*(1-$G$14)*$F$14</x:f>
        <x:v>764.5049999999999</x:v>
      </x:c>
      <x:c r="H171" s="27" t="n">
        <x:f>IF($H$14&gt;0,20,MAX(E171,'Inputs'!$D$9)*$E$14)</x:f>
        <x:v>500</x:v>
      </x:c>
      <x:c r="I171" s="27" t="n">
        <x:f>MAX(0,G171-H171)+E171*'Cost Build'!E52</x:f>
        <x:v>264.5049999999999</x:v>
      </x:c>
      <x:c r="J171" s="27" t="n">
        <x:f>F171+I171</x:f>
        <x:v>2214.505</x:v>
      </x:c>
      <x:c r="K171" s="27" t="n">
        <x:f>E171*('Cost Build'!E9*(1-$G$14)+'Cost Build'!E21+'Cost Build'!E33)</x:f>
        <x:v>666.60177</x:v>
      </x:c>
      <x:c r="L171" s="27" t="n">
        <x:f>K171*(1+'Inputs'!$D$54)</x:f>
        <x:v>733.2619470000001</x:v>
      </x:c>
      <x:c r="M171" s="27" t="n">
        <x:f>E171*'Inputs'!$D$55</x:f>
        <x:v>75</x:v>
      </x:c>
      <x:c r="N171" s="27" t="n">
        <x:f>'Fleet'!$D$17</x:f>
        <x:v>14.5</x:v>
      </x:c>
      <x:c r="O171" s="27" t="n">
        <x:f>J171*'Inputs'!$D$56+'Inputs'!$D$57</x:f>
        <x:v>80.02217999999999</x:v>
      </x:c>
      <x:c r="P171" s="27" t="n">
        <x:f>SUM(L171:O171)</x:f>
        <x:v>902.7841270000001</x:v>
      </x:c>
      <x:c r="Q171" s="27" t="n">
        <x:f>J171-P171</x:f>
        <x:v>1311.720873</x:v>
      </x:c>
      <x:c r="R171" s="33" t="n">
        <x:f>Q171/J171</x:f>
        <x:v>0.5923314117601902</x:v>
      </x:c>
      <x:c r="S171" s="27" t="n">
        <x:f>0</x:f>
        <x:v>0</x:v>
      </x:c>
      <x:c r="T171" s="27" t="n">
        <x:f>J171+S171</x:f>
        <x:v>2214.505</x:v>
      </x:c>
    </x:row>
    <x:row r="172" ht="22" customHeight="1">
      <x:c r="A172" s="1"/>
      <x:c r="B172" s="1"/>
      <x:c r="C172" s="1" t="str">
        <x:v>Same bundle $39</x:v>
      </x:c>
      <x:c r="D172" s="1" t="str">
        <x:v>Typical</x:v>
      </x:c>
      <x:c r="E172" s="1" t="n">
        <x:v>100</x:v>
      </x:c>
      <x:c r="F172" s="27" t="n">
        <x:f>IF($H$14&gt;0,$H$14+MAX(0,E172-$I$14)*$J$14,MAX(E172,'Inputs'!$D$9)*$D$14)</x:f>
        <x:v>3900</x:v>
      </x:c>
      <x:c r="G172" s="27" t="n">
        <x:f>E172*'Cost Build'!E9*(1-$G$14)*$F$14</x:f>
        <x:v>1529.0099999999998</x:v>
      </x:c>
      <x:c r="H172" s="27" t="n">
        <x:f>IF($H$14&gt;0,20,MAX(E172,'Inputs'!$D$9)*$E$14)</x:f>
        <x:v>1000</x:v>
      </x:c>
      <x:c r="I172" s="27" t="n">
        <x:f>MAX(0,G172-H172)+E172*'Cost Build'!E52</x:f>
        <x:v>529.0099999999998</x:v>
      </x:c>
      <x:c r="J172" s="27" t="n">
        <x:f>F172+I172</x:f>
        <x:v>4429.01</x:v>
      </x:c>
      <x:c r="K172" s="27" t="n">
        <x:f>E172*('Cost Build'!E9*(1-$G$14)+'Cost Build'!E21+'Cost Build'!E33)</x:f>
        <x:v>1333.20354</x:v>
      </x:c>
      <x:c r="L172" s="27" t="n">
        <x:f>K172*(1+'Inputs'!$D$54)</x:f>
        <x:v>1466.5238940000002</x:v>
      </x:c>
      <x:c r="M172" s="27" t="n">
        <x:f>E172*'Inputs'!$D$55</x:f>
        <x:v>150</x:v>
      </x:c>
      <x:c r="N172" s="27" t="n">
        <x:f>'Fleet'!$D$17</x:f>
        <x:v>14.5</x:v>
      </x:c>
      <x:c r="O172" s="27" t="n">
        <x:f>J172*'Inputs'!$D$56+'Inputs'!$D$57</x:f>
        <x:v>159.74436</x:v>
      </x:c>
      <x:c r="P172" s="27" t="n">
        <x:f>SUM(L172:O172)</x:f>
        <x:v>1790.768254</x:v>
      </x:c>
      <x:c r="Q172" s="27" t="n">
        <x:f>J172-P172</x:f>
        <x:v>2638.241746</x:v>
      </x:c>
      <x:c r="R172" s="33" t="n">
        <x:f>Q172/J172</x:f>
        <x:v>0.5956730163174163</x:v>
      </x:c>
      <x:c r="S172" s="27" t="n">
        <x:f>0</x:f>
        <x:v>0</x:v>
      </x:c>
      <x:c r="T172" s="27" t="n">
        <x:f>J172+S172</x:f>
        <x:v>4429.01</x:v>
      </x:c>
    </x:row>
    <x:row r="173" ht="22" customHeight="1">
      <x:c r="A173" s="1"/>
      <x:c r="B173" s="1"/>
      <x:c r="C173" s="1" t="str">
        <x:v>Same bundle $39</x:v>
      </x:c>
      <x:c r="D173" s="1" t="str">
        <x:v>Heavy</x:v>
      </x:c>
      <x:c r="E173" s="1" t="n">
        <x:v>3</x:v>
      </x:c>
      <x:c r="F173" s="27" t="n">
        <x:f>IF($H$14&gt;0,$H$14+MAX(0,E173-$I$14)*$J$14,MAX(E173,'Inputs'!$D$9)*$D$14)</x:f>
        <x:v>117</x:v>
      </x:c>
      <x:c r="G173" s="27" t="n">
        <x:f>E173*'Cost Build'!F9*(1-$G$14)*$F$14</x:f>
        <x:v>191.268</x:v>
      </x:c>
      <x:c r="H173" s="27" t="n">
        <x:f>IF($H$14&gt;0,20,MAX(E173,'Inputs'!$D$9)*$E$14)</x:f>
        <x:v>30</x:v>
      </x:c>
      <x:c r="I173" s="27" t="n">
        <x:f>MAX(0,G173-H173)+E173*'Cost Build'!F52</x:f>
        <x:v>192.534</x:v>
      </x:c>
      <x:c r="J173" s="27" t="n">
        <x:f>F173+I173</x:f>
        <x:v>309.534</x:v>
      </x:c>
      <x:c r="K173" s="27" t="n">
        <x:f>E173*('Cost Build'!F9*(1-$G$14)+'Cost Build'!F21+'Cost Build'!F33)</x:f>
        <x:v>151.407828</x:v>
      </x:c>
      <x:c r="L173" s="27" t="n">
        <x:f>K173*(1+'Inputs'!$D$54)</x:f>
        <x:v>166.5486108</x:v>
      </x:c>
      <x:c r="M173" s="27" t="n">
        <x:f>E173*'Inputs'!$D$55</x:f>
        <x:v>4.5</x:v>
      </x:c>
      <x:c r="N173" s="27" t="n">
        <x:f>'Fleet'!$D$17</x:f>
        <x:v>14.5</x:v>
      </x:c>
      <x:c r="O173" s="27" t="n">
        <x:f>J173*'Inputs'!$D$56+'Inputs'!$D$57</x:f>
        <x:v>11.443223999999999</x:v>
      </x:c>
      <x:c r="P173" s="27" t="n">
        <x:f>SUM(L173:O173)</x:f>
        <x:v>196.9918348</x:v>
      </x:c>
      <x:c r="Q173" s="27" t="n">
        <x:f>J173-P173</x:f>
        <x:v>112.5421652</x:v>
      </x:c>
      <x:c r="R173" s="33" t="n">
        <x:f>Q173/J173</x:f>
        <x:v>0.36358579412923947</x:v>
      </x:c>
      <x:c r="S173" s="27" t="n">
        <x:f>0</x:f>
        <x:v>0</x:v>
      </x:c>
      <x:c r="T173" s="27" t="n">
        <x:f>J173+S173</x:f>
        <x:v>309.534</x:v>
      </x:c>
    </x:row>
    <x:row r="174" ht="22" customHeight="1">
      <x:c r="A174" s="1"/>
      <x:c r="B174" s="1"/>
      <x:c r="C174" s="1" t="str">
        <x:v>Same bundle $39</x:v>
      </x:c>
      <x:c r="D174" s="1" t="str">
        <x:v>Heavy</x:v>
      </x:c>
      <x:c r="E174" s="1" t="n">
        <x:v>5</x:v>
      </x:c>
      <x:c r="F174" s="27" t="n">
        <x:f>IF($H$14&gt;0,$H$14+MAX(0,E174-$I$14)*$J$14,MAX(E174,'Inputs'!$D$9)*$D$14)</x:f>
        <x:v>195</x:v>
      </x:c>
      <x:c r="G174" s="27" t="n">
        <x:f>E174*'Cost Build'!F9*(1-$G$14)*$F$14</x:f>
        <x:v>318.78</x:v>
      </x:c>
      <x:c r="H174" s="27" t="n">
        <x:f>IF($H$14&gt;0,20,MAX(E174,'Inputs'!$D$9)*$E$14)</x:f>
        <x:v>50</x:v>
      </x:c>
      <x:c r="I174" s="27" t="n">
        <x:f>MAX(0,G174-H174)+E174*'Cost Build'!F52</x:f>
        <x:v>320.89</x:v>
      </x:c>
      <x:c r="J174" s="27" t="n">
        <x:f>F174+I174</x:f>
        <x:v>515.89</x:v>
      </x:c>
      <x:c r="K174" s="27" t="n">
        <x:f>E174*('Cost Build'!F9*(1-$G$14)+'Cost Build'!F21+'Cost Build'!F33)</x:f>
        <x:v>252.34638</x:v>
      </x:c>
      <x:c r="L174" s="27" t="n">
        <x:f>K174*(1+'Inputs'!$D$54)</x:f>
        <x:v>277.58101800000003</x:v>
      </x:c>
      <x:c r="M174" s="27" t="n">
        <x:f>E174*'Inputs'!$D$55</x:f>
        <x:v>7.5</x:v>
      </x:c>
      <x:c r="N174" s="27" t="n">
        <x:f>'Fleet'!$D$17</x:f>
        <x:v>14.5</x:v>
      </x:c>
      <x:c r="O174" s="27" t="n">
        <x:f>J174*'Inputs'!$D$56+'Inputs'!$D$57</x:f>
        <x:v>18.87204</x:v>
      </x:c>
      <x:c r="P174" s="27" t="n">
        <x:f>SUM(L174:O174)</x:f>
        <x:v>318.45305800000006</x:v>
      </x:c>
      <x:c r="Q174" s="27" t="n">
        <x:f>J174-P174</x:f>
        <x:v>197.43694199999993</x:v>
      </x:c>
      <x:c r="R174" s="33" t="n">
        <x:f>Q174/J174</x:f>
        <x:v>0.38271131830428956</x:v>
      </x:c>
      <x:c r="S174" s="27" t="n">
        <x:f>0</x:f>
        <x:v>0</x:v>
      </x:c>
      <x:c r="T174" s="27" t="n">
        <x:f>J174+S174</x:f>
        <x:v>515.89</x:v>
      </x:c>
    </x:row>
    <x:row r="175" ht="22" customHeight="1">
      <x:c r="A175" s="1"/>
      <x:c r="B175" s="1"/>
      <x:c r="C175" s="1" t="str">
        <x:v>Same bundle $39</x:v>
      </x:c>
      <x:c r="D175" s="1" t="str">
        <x:v>Heavy</x:v>
      </x:c>
      <x:c r="E175" s="1" t="n">
        <x:v>10</x:v>
      </x:c>
      <x:c r="F175" s="27" t="n">
        <x:f>IF($H$14&gt;0,$H$14+MAX(0,E175-$I$14)*$J$14,MAX(E175,'Inputs'!$D$9)*$D$14)</x:f>
        <x:v>390</x:v>
      </x:c>
      <x:c r="G175" s="27" t="n">
        <x:f>E175*'Cost Build'!F9*(1-$G$14)*$F$14</x:f>
        <x:v>637.56</x:v>
      </x:c>
      <x:c r="H175" s="27" t="n">
        <x:f>IF($H$14&gt;0,20,MAX(E175,'Inputs'!$D$9)*$E$14)</x:f>
        <x:v>100</x:v>
      </x:c>
      <x:c r="I175" s="27" t="n">
        <x:f>MAX(0,G175-H175)+E175*'Cost Build'!F52</x:f>
        <x:v>641.78</x:v>
      </x:c>
      <x:c r="J175" s="27" t="n">
        <x:f>F175+I175</x:f>
        <x:v>1031.78</x:v>
      </x:c>
      <x:c r="K175" s="27" t="n">
        <x:f>E175*('Cost Build'!F9*(1-$G$14)+'Cost Build'!F21+'Cost Build'!F33)</x:f>
        <x:v>504.69276</x:v>
      </x:c>
      <x:c r="L175" s="27" t="n">
        <x:f>K175*(1+'Inputs'!$D$54)</x:f>
        <x:v>555.1620360000001</x:v>
      </x:c>
      <x:c r="M175" s="27" t="n">
        <x:f>E175*'Inputs'!$D$55</x:f>
        <x:v>15</x:v>
      </x:c>
      <x:c r="N175" s="27" t="n">
        <x:f>'Fleet'!$D$17</x:f>
        <x:v>14.5</x:v>
      </x:c>
      <x:c r="O175" s="27" t="n">
        <x:f>J175*'Inputs'!$D$56+'Inputs'!$D$57</x:f>
        <x:v>37.44407999999999</x:v>
      </x:c>
      <x:c r="P175" s="27" t="n">
        <x:f>SUM(L175:O175)</x:f>
        <x:v>622.106116</x:v>
      </x:c>
      <x:c r="Q175" s="27" t="n">
        <x:f>J175-P175</x:f>
        <x:v>409.67388399999993</x:v>
      </x:c>
      <x:c r="R175" s="33" t="n">
        <x:f>Q175/J175</x:f>
        <x:v>0.3970554614355773</x:v>
      </x:c>
      <x:c r="S175" s="27" t="n">
        <x:f>0</x:f>
        <x:v>0</x:v>
      </x:c>
      <x:c r="T175" s="27" t="n">
        <x:f>J175+S175</x:f>
        <x:v>1031.78</x:v>
      </x:c>
    </x:row>
    <x:row r="176" ht="22" customHeight="1">
      <x:c r="A176" s="1"/>
      <x:c r="B176" s="1"/>
      <x:c r="C176" s="1" t="str">
        <x:v>Same bundle $39</x:v>
      </x:c>
      <x:c r="D176" s="1" t="str">
        <x:v>Heavy</x:v>
      </x:c>
      <x:c r="E176" s="1" t="n">
        <x:v>20</x:v>
      </x:c>
      <x:c r="F176" s="27" t="n">
        <x:f>IF($H$14&gt;0,$H$14+MAX(0,E176-$I$14)*$J$14,MAX(E176,'Inputs'!$D$9)*$D$14)</x:f>
        <x:v>780</x:v>
      </x:c>
      <x:c r="G176" s="27" t="n">
        <x:f>E176*'Cost Build'!F9*(1-$G$14)*$F$14</x:f>
        <x:v>1275.12</x:v>
      </x:c>
      <x:c r="H176" s="27" t="n">
        <x:f>IF($H$14&gt;0,20,MAX(E176,'Inputs'!$D$9)*$E$14)</x:f>
        <x:v>200</x:v>
      </x:c>
      <x:c r="I176" s="27" t="n">
        <x:f>MAX(0,G176-H176)+E176*'Cost Build'!F52</x:f>
        <x:v>1283.56</x:v>
      </x:c>
      <x:c r="J176" s="27" t="n">
        <x:f>F176+I176</x:f>
        <x:v>2063.56</x:v>
      </x:c>
      <x:c r="K176" s="27" t="n">
        <x:f>E176*('Cost Build'!F9*(1-$G$14)+'Cost Build'!F21+'Cost Build'!F33)</x:f>
        <x:v>1009.38552</x:v>
      </x:c>
      <x:c r="L176" s="27" t="n">
        <x:f>K176*(1+'Inputs'!$D$54)</x:f>
        <x:v>1110.3240720000001</x:v>
      </x:c>
      <x:c r="M176" s="27" t="n">
        <x:f>E176*'Inputs'!$D$55</x:f>
        <x:v>30</x:v>
      </x:c>
      <x:c r="N176" s="27" t="n">
        <x:f>'Fleet'!$D$17</x:f>
        <x:v>14.5</x:v>
      </x:c>
      <x:c r="O176" s="27" t="n">
        <x:f>J176*'Inputs'!$D$56+'Inputs'!$D$57</x:f>
        <x:v>74.58815999999999</x:v>
      </x:c>
      <x:c r="P176" s="27" t="n">
        <x:f>SUM(L176:O176)</x:f>
        <x:v>1229.4122320000001</x:v>
      </x:c>
      <x:c r="Q176" s="27" t="n">
        <x:f>J176-P176</x:f>
        <x:v>834.1477679999998</x:v>
      </x:c>
      <x:c r="R176" s="33" t="n">
        <x:f>Q176/J176</x:f>
        <x:v>0.4042275330012211</x:v>
      </x:c>
      <x:c r="S176" s="27" t="n">
        <x:f>0</x:f>
        <x:v>0</x:v>
      </x:c>
      <x:c r="T176" s="27" t="n">
        <x:f>J176+S176</x:f>
        <x:v>2063.56</x:v>
      </x:c>
    </x:row>
    <x:row r="177" ht="22" customHeight="1">
      <x:c r="A177" s="1"/>
      <x:c r="B177" s="1"/>
      <x:c r="C177" s="1" t="str">
        <x:v>Same bundle $39</x:v>
      </x:c>
      <x:c r="D177" s="1" t="str">
        <x:v>Heavy</x:v>
      </x:c>
      <x:c r="E177" s="1" t="n">
        <x:v>50</x:v>
      </x:c>
      <x:c r="F177" s="27" t="n">
        <x:f>IF($H$14&gt;0,$H$14+MAX(0,E177-$I$14)*$J$14,MAX(E177,'Inputs'!$D$9)*$D$14)</x:f>
        <x:v>1950</x:v>
      </x:c>
      <x:c r="G177" s="27" t="n">
        <x:f>E177*'Cost Build'!F9*(1-$G$14)*$F$14</x:f>
        <x:v>3187.7999999999997</x:v>
      </x:c>
      <x:c r="H177" s="27" t="n">
        <x:f>IF($H$14&gt;0,20,MAX(E177,'Inputs'!$D$9)*$E$14)</x:f>
        <x:v>500</x:v>
      </x:c>
      <x:c r="I177" s="27" t="n">
        <x:f>MAX(0,G177-H177)+E177*'Cost Build'!F52</x:f>
        <x:v>3208.8999999999996</x:v>
      </x:c>
      <x:c r="J177" s="27" t="n">
        <x:f>F177+I177</x:f>
        <x:v>5158.9</x:v>
      </x:c>
      <x:c r="K177" s="27" t="n">
        <x:f>E177*('Cost Build'!F9*(1-$G$14)+'Cost Build'!F21+'Cost Build'!F33)</x:f>
        <x:v>2523.4638</x:v>
      </x:c>
      <x:c r="L177" s="27" t="n">
        <x:f>K177*(1+'Inputs'!$D$54)</x:f>
        <x:v>2775.8101800000004</x:v>
      </x:c>
      <x:c r="M177" s="27" t="n">
        <x:f>E177*'Inputs'!$D$55</x:f>
        <x:v>75</x:v>
      </x:c>
      <x:c r="N177" s="27" t="n">
        <x:f>'Fleet'!$D$17</x:f>
        <x:v>14.5</x:v>
      </x:c>
      <x:c r="O177" s="27" t="n">
        <x:f>J177*'Inputs'!$D$56+'Inputs'!$D$57</x:f>
        <x:v>186.0204</x:v>
      </x:c>
      <x:c r="P177" s="27" t="n">
        <x:f>SUM(L177:O177)</x:f>
        <x:v>3051.3305800000003</x:v>
      </x:c>
      <x:c r="Q177" s="27" t="n">
        <x:f>J177-P177</x:f>
        <x:v>2107.5694199999994</x:v>
      </x:c>
      <x:c r="R177" s="33" t="n">
        <x:f>Q177/J177</x:f>
        <x:v>0.4085307759406074</x:v>
      </x:c>
      <x:c r="S177" s="27" t="n">
        <x:f>0</x:f>
        <x:v>0</x:v>
      </x:c>
      <x:c r="T177" s="27" t="n">
        <x:f>J177+S177</x:f>
        <x:v>5158.9</x:v>
      </x:c>
    </x:row>
    <x:row r="178" ht="22" customHeight="1">
      <x:c r="A178" s="1"/>
      <x:c r="B178" s="1"/>
      <x:c r="C178" s="1" t="str">
        <x:v>Same bundle $39</x:v>
      </x:c>
      <x:c r="D178" s="1" t="str">
        <x:v>Heavy</x:v>
      </x:c>
      <x:c r="E178" s="1" t="n">
        <x:v>100</x:v>
      </x:c>
      <x:c r="F178" s="27" t="n">
        <x:f>IF($H$14&gt;0,$H$14+MAX(0,E178-$I$14)*$J$14,MAX(E178,'Inputs'!$D$9)*$D$14)</x:f>
        <x:v>3900</x:v>
      </x:c>
      <x:c r="G178" s="27" t="n">
        <x:f>E178*'Cost Build'!F9*(1-$G$14)*$F$14</x:f>
        <x:v>6375.599999999999</x:v>
      </x:c>
      <x:c r="H178" s="27" t="n">
        <x:f>IF($H$14&gt;0,20,MAX(E178,'Inputs'!$D$9)*$E$14)</x:f>
        <x:v>1000</x:v>
      </x:c>
      <x:c r="I178" s="27" t="n">
        <x:f>MAX(0,G178-H178)+E178*'Cost Build'!F52</x:f>
        <x:v>6417.799999999999</x:v>
      </x:c>
      <x:c r="J178" s="27" t="n">
        <x:f>F178+I178</x:f>
        <x:v>10317.8</x:v>
      </x:c>
      <x:c r="K178" s="27" t="n">
        <x:f>E178*('Cost Build'!F9*(1-$G$14)+'Cost Build'!F21+'Cost Build'!F33)</x:f>
        <x:v>5046.9276</x:v>
      </x:c>
      <x:c r="L178" s="27" t="n">
        <x:f>K178*(1+'Inputs'!$D$54)</x:f>
        <x:v>5551.620360000001</x:v>
      </x:c>
      <x:c r="M178" s="27" t="n">
        <x:f>E178*'Inputs'!$D$55</x:f>
        <x:v>150</x:v>
      </x:c>
      <x:c r="N178" s="27" t="n">
        <x:f>'Fleet'!$D$17</x:f>
        <x:v>14.5</x:v>
      </x:c>
      <x:c r="O178" s="27" t="n">
        <x:f>J178*'Inputs'!$D$56+'Inputs'!$D$57</x:f>
        <x:v>371.7408</x:v>
      </x:c>
      <x:c r="P178" s="27" t="n">
        <x:f>SUM(L178:O178)</x:f>
        <x:v>6087.86116</x:v>
      </x:c>
      <x:c r="Q178" s="27" t="n">
        <x:f>J178-P178</x:f>
        <x:v>4229.938839999999</x:v>
      </x:c>
      <x:c r="R178" s="33" t="n">
        <x:f>Q178/J178</x:f>
        <x:v>0.4099651902537362</x:v>
      </x:c>
      <x:c r="S178" s="27" t="n">
        <x:f>0</x:f>
        <x:v>0</x:v>
      </x:c>
      <x:c r="T178" s="27" t="n">
        <x:f>J178+S178</x:f>
        <x:v>10317.8</x:v>
      </x:c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conditionalFormatting sqref="R17:R16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5" hidden="0" customWidth="1"/>
    <x:col min="10" max="10" width="9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Fleet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Reference fleet driver</x:v>
      </x:c>
      <x:c r="D5" s="7" t="str">
        <x:v>Value</x:v>
      </x:c>
      <x:c r="E5" s="7" t="str">
        <x:v>Unit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Paying workspaces</x:v>
      </x:c>
      <x:c r="D6" s="32" t="n">
        <x:f>'Inputs'!$D$63</x:f>
        <x:v>50</x:v>
      </x:c>
      <x:c r="E6" s="1" t="str">
        <x:v>workspaces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Paid seats per workspace</x:v>
      </x:c>
      <x:c r="D7" s="32" t="n">
        <x:f>'Inputs'!$D$64</x:f>
        <x:v>10</x:v>
      </x:c>
      <x:c r="E7" s="1" t="str">
        <x:v>members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Managed Typical revenue / workspace</x:v>
      </x:c>
      <x:c r="D8" s="27" t="n">
        <x:f>D7*'Cost Build'!E46</x:f>
        <x:v>342.90099999999995</x:v>
      </x:c>
      <x:c r="E8" s="1" t="str">
        <x:v>$/month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Monthly fleet billing volume</x:v>
      </x:c>
      <x:c r="D9" s="27" t="n">
        <x:f>D6*D8</x:f>
        <x:v>17145.05</x:v>
      </x:c>
      <x:c r="E9" s="1" t="str">
        <x:v>$/month</x:v>
      </x:c>
      <x:c r="F9" s="1"/>
      <x:c r="G9" s="1"/>
      <x:c r="H9" s="1"/>
      <x:c r="I9" s="1"/>
      <x:c r="J9" s="1" t="str">
        <x:v>All comparisons share this fleet allocation; no circular dependency on a scenario.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Autumn fixed fee</x:v>
      </x:c>
      <x:c r="D10" s="27" t="n">
        <x:f>IF(D9&lt;='Inputs'!$D$65,0,IF(D9&lt;=50000,'Inputs'!$D$66,'Inputs'!$D$67))</x:f>
        <x:v>375</x:v>
      </x:c>
      <x:c r="E10" s="1" t="str">
        <x:v>$/month</x:v>
      </x:c>
      <x:c r="F10" s="1"/>
      <x:c r="G10" s="1"/>
      <x:c r="H10" s="1"/>
      <x:c r="I10" s="1"/>
      <x:c r="J10" s="1" t="str">
        <x:f>IF(F9&gt;50000,"AUTUMN QUOTE REQUIRED — fee is a placeholder","Autumn public pricing band")</x:f>
        <x:v>Autumn public pricing band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Base hosting and monitoring</x:v>
      </x:c>
      <x:c r="D11" s="27" t="n">
        <x:f>'Inputs'!$D$58</x:f>
        <x:v>300</x:v>
      </x:c>
      <x:c r="E11" s="1" t="str">
        <x:v>$/month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LiveKit plan minimum</x:v>
      </x:c>
      <x:c r="D12" s="27" t="n">
        <x:f>'Inputs'!$D$59</x:f>
        <x:v>50</x:v>
      </x:c>
      <x:c r="E12" s="1" t="str">
        <x:v>$/month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Browser minimum shortfall</x:v>
      </x:c>
      <x:c r="D13" s="27" t="n">
        <x:f>MAX(0,'Inputs'!$D$42-D6*D7*'Cost Build'!E12)</x:f>
        <x:v>0</x:v>
      </x:c>
      <x:c r="E13" s="1" t="str">
        <x:v>$/month</x:v>
      </x:c>
      <x:c r="F13" s="1"/>
      <x:c r="G13" s="1"/>
      <x:c r="H13" s="1"/>
      <x:c r="I13" s="1"/>
      <x:c r="J13" s="1" t="str">
        <x:v>Minimum fees are fleet-wide; variable browser and Git costs already included per member.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Git minimum shortfall</x:v>
      </x:c>
      <x:c r="D14" s="27" t="n">
        <x:f>MAX(0,'Inputs'!$D$49-D6*D7*'Cost Build'!E44)</x:f>
        <x:v>0</x:v>
      </x:c>
      <x:c r="E14" s="1" t="str">
        <x:v>$/month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 t="str">
        <x:v>RTC fleet overage</x:v>
      </x:c>
      <x:c r="D15" s="27" t="n">
        <x:f>MAX(0,D6*D7*'Workloads'!E21*'Inputs'!$D$62-'Inputs'!$D$60)*'Inputs'!$D$61</x:f>
        <x:v>0</x:v>
      </x:c>
      <x:c r="E15" s="1" t="str">
        <x:v>$/month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Total fixed and minimum costs</x:v>
      </x:c>
      <x:c r="D16" s="27" t="n">
        <x:f>SUM(D10:D15)</x:f>
        <x:v>725</x:v>
      </x:c>
      <x:c r="E16" s="1" t="str">
        <x:v>$/month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Allocated cost / workspace</x:v>
      </x:c>
      <x:c r="D17" s="27" t="n">
        <x:f>D16/D6</x:f>
        <x:v>14.5</x:v>
      </x:c>
      <x:c r="E17" s="1" t="str">
        <x:v>$/month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30" customHeight="1">
      <x:c r="A21" s="1"/>
      <x:c r="B21" s="1"/>
      <x:c r="C21" s="7" t="str">
        <x:v>Workspaces</x:v>
      </x:c>
      <x:c r="D21" s="7" t="str">
        <x:v>Revenue</x:v>
      </x:c>
      <x:c r="E21" s="7" t="str">
        <x:v>Shared costs</x:v>
      </x:c>
      <x:c r="F21" s="7" t="str">
        <x:v>Service cost</x:v>
      </x:c>
      <x:c r="G21" s="7" t="str">
        <x:v>Contribution</x:v>
      </x:c>
      <x:c r="H21" s="7" t="str">
        <x:v>Margin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 t="n">
        <x:v>1</x:v>
      </x:c>
      <x:c r="D22" s="26" t="n">
        <x:f>C22*$D$8</x:f>
        <x:v>342.90099999999995</x:v>
      </x:c>
      <x:c r="E22" s="26" t="n">
        <x:f>'Inputs'!$D$58+'Inputs'!$D$59+IF(D22&lt;='Inputs'!$D$65,0,IF(D22&lt;=50000,'Inputs'!$D$66,'Inputs'!$D$67))+MAX(0,'Inputs'!$D$42-C22*$D$7*'Cost Build'!E12)+MAX(0,'Inputs'!$D$49-C22*$D$7*'Cost Build'!E44)+MAX(0,C22*$D$7*'Workloads'!E21*'Inputs'!$D$62-'Inputs'!$D$60)*'Inputs'!$D$61</x:f>
        <x:v>453.535</x:v>
      </x:c>
      <x:c r="F22" s="26" t="n">
        <x:f>E22+C22*$D$7*'Cost Build'!E37+D22*'Inputs'!$D$56+C22*'Inputs'!$D$57</x:f>
        <x:v>627.8318254</x:v>
      </x:c>
      <x:c r="G22" s="26" t="n">
        <x:f>D22-F22</x:f>
        <x:v>-284.9308254</x:v>
      </x:c>
      <x:c r="H22" s="9" t="n">
        <x:f>G22/D22</x:f>
        <x:v>-0.830941949425636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 t="n">
        <x:v>5</x:v>
      </x:c>
      <x:c r="D23" s="26" t="n">
        <x:f>C23*$D$8</x:f>
        <x:v>1714.5049999999997</x:v>
      </x:c>
      <x:c r="E23" s="26" t="n">
        <x:f>'Inputs'!$D$58+'Inputs'!$D$59+IF(D23&lt;='Inputs'!$D$65,0,IF(D23&lt;=50000,'Inputs'!$D$66,'Inputs'!$D$67))+MAX(0,'Inputs'!$D$42-C23*$D$7*'Cost Build'!E12)+MAX(0,'Inputs'!$D$49-C23*$D$7*'Cost Build'!E44)+MAX(0,C23*$D$7*'Workloads'!E21*'Inputs'!$D$62-'Inputs'!$D$60)*'Inputs'!$D$61</x:f>
        <x:v>429.2</x:v>
      </x:c>
      <x:c r="F23" s="26" t="n">
        <x:f>E23+C23*$D$7*'Cost Build'!E37+D23*'Inputs'!$D$56+C23*'Inputs'!$D$57</x:f>
        <x:v>1300.684127</x:v>
      </x:c>
      <x:c r="G23" s="26" t="n">
        <x:f>D23-F23</x:f>
        <x:v>413.82087299999966</x:v>
      </x:c>
      <x:c r="H23" s="9" t="n">
        <x:f>G23/D23</x:f>
        <x:v>0.24136463469047903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n">
        <x:v>10</x:v>
      </x:c>
      <x:c r="D24" s="26" t="n">
        <x:f>C24*$D$8</x:f>
        <x:v>3429.0099999999993</x:v>
      </x:c>
      <x:c r="E24" s="26" t="n">
        <x:f>'Inputs'!$D$58+'Inputs'!$D$59+IF(D24&lt;='Inputs'!$D$65,0,IF(D24&lt;=50000,'Inputs'!$D$66,'Inputs'!$D$67))+MAX(0,'Inputs'!$D$42-C24*$D$7*'Cost Build'!E12)+MAX(0,'Inputs'!$D$49-C24*$D$7*'Cost Build'!E44)+MAX(0,C24*$D$7*'Workloads'!E21*'Inputs'!$D$62-'Inputs'!$D$60)*'Inputs'!$D$61</x:f>
        <x:v>409.4</x:v>
      </x:c>
      <x:c r="F24" s="26" t="n">
        <x:f>E24+C24*$D$7*'Cost Build'!E37+D24*'Inputs'!$D$56+C24*'Inputs'!$D$57</x:f>
        <x:v>2152.368254</x:v>
      </x:c>
      <x:c r="G24" s="26" t="n">
        <x:f>D24-F24</x:f>
        <x:v>1276.6417459999993</x:v>
      </x:c>
      <x:c r="H24" s="9" t="n">
        <x:f>G24/D24</x:f>
        <x:v>0.3723062184128946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n">
        <x:v>15</x:v>
      </x:c>
      <x:c r="D25" s="26" t="n">
        <x:f>C25*$D$8</x:f>
        <x:v>5143.514999999999</x:v>
      </x:c>
      <x:c r="E25" s="26" t="n">
        <x:f>'Inputs'!$D$58+'Inputs'!$D$59+IF(D25&lt;='Inputs'!$D$65,0,IF(D25&lt;=50000,'Inputs'!$D$66,'Inputs'!$D$67))+MAX(0,'Inputs'!$D$42-C25*$D$7*'Cost Build'!E12)+MAX(0,'Inputs'!$D$49-C25*$D$7*'Cost Build'!E44)+MAX(0,C25*$D$7*'Workloads'!E21*'Inputs'!$D$62-'Inputs'!$D$60)*'Inputs'!$D$61</x:f>
        <x:v>389.6</x:v>
      </x:c>
      <x:c r="F25" s="26" t="n">
        <x:f>E25+C25*$D$7*'Cost Build'!E37+D25*'Inputs'!$D$56+C25*'Inputs'!$D$57</x:f>
        <x:v>3004.052381</x:v>
      </x:c>
      <x:c r="G25" s="26" t="n">
        <x:f>D25-F25</x:f>
        <x:v>2139.4626189999994</x:v>
      </x:c>
      <x:c r="H25" s="9" t="n">
        <x:f>G25/D25</x:f>
        <x:v>0.41595341298703314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 t="n">
        <x:v>20</x:v>
      </x:c>
      <x:c r="D26" s="26" t="n">
        <x:f>C26*$D$8</x:f>
        <x:v>6858.019999999999</x:v>
      </x:c>
      <x:c r="E26" s="26" t="n">
        <x:f>'Inputs'!$D$58+'Inputs'!$D$59+IF(D26&lt;='Inputs'!$D$65,0,IF(D26&lt;=50000,'Inputs'!$D$66,'Inputs'!$D$67))+MAX(0,'Inputs'!$D$42-C26*$D$7*'Cost Build'!E12)+MAX(0,'Inputs'!$D$49-C26*$D$7*'Cost Build'!E44)+MAX(0,C26*$D$7*'Workloads'!E21*'Inputs'!$D$62-'Inputs'!$D$60)*'Inputs'!$D$61</x:f>
        <x:v>369.8</x:v>
      </x:c>
      <x:c r="F26" s="26" t="n">
        <x:f>E26+C26*$D$7*'Cost Build'!E37+D26*'Inputs'!$D$56+C26*'Inputs'!$D$57</x:f>
        <x:v>3855.736508</x:v>
      </x:c>
      <x:c r="G26" s="26" t="n">
        <x:f>D26-F26</x:f>
        <x:v>3002.2834919999987</x:v>
      </x:c>
      <x:c r="H26" s="9" t="n">
        <x:f>G26/D26</x:f>
        <x:v>0.4377770102741023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n">
        <x:v>25</x:v>
      </x:c>
      <x:c r="D27" s="26" t="n">
        <x:f>C27*$D$8</x:f>
        <x:v>8572.525</x:v>
      </x:c>
      <x:c r="E27" s="26" t="n">
        <x:f>'Inputs'!$D$58+'Inputs'!$D$59+IF(D27&lt;='Inputs'!$D$65,0,IF(D27&lt;=50000,'Inputs'!$D$66,'Inputs'!$D$67))+MAX(0,'Inputs'!$D$42-C27*$D$7*'Cost Build'!E12)+MAX(0,'Inputs'!$D$49-C27*$D$7*'Cost Build'!E44)+MAX(0,C27*$D$7*'Workloads'!E21*'Inputs'!$D$62-'Inputs'!$D$60)*'Inputs'!$D$61</x:f>
        <x:v>725</x:v>
      </x:c>
      <x:c r="F27" s="26" t="n">
        <x:f>E27+C27*$D$7*'Cost Build'!E37+D27*'Inputs'!$D$56+C27*'Inputs'!$D$57</x:f>
        <x:v>5082.420634999999</x:v>
      </x:c>
      <x:c r="G27" s="26" t="n">
        <x:f>D27-F27</x:f>
        <x:v>3490.104365000001</x:v>
      </x:c>
      <x:c r="H27" s="9" t="n">
        <x:f>G27/D27</x:f>
        <x:v>0.4071267642847354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n">
        <x:v>50</x:v>
      </x:c>
      <x:c r="D28" s="26" t="n">
        <x:f>C28*$D$8</x:f>
        <x:v>17145.05</x:v>
      </x:c>
      <x:c r="E28" s="26" t="n">
        <x:f>'Inputs'!$D$58+'Inputs'!$D$59+IF(D28&lt;='Inputs'!$D$65,0,IF(D28&lt;=50000,'Inputs'!$D$66,'Inputs'!$D$67))+MAX(0,'Inputs'!$D$42-C28*$D$7*'Cost Build'!E12)+MAX(0,'Inputs'!$D$49-C28*$D$7*'Cost Build'!E44)+MAX(0,C28*$D$7*'Workloads'!E21*'Inputs'!$D$62-'Inputs'!$D$60)*'Inputs'!$D$61</x:f>
        <x:v>725</x:v>
      </x:c>
      <x:c r="F28" s="26" t="n">
        <x:f>E28+C28*$D$7*'Cost Build'!E37+D28*'Inputs'!$D$56+C28*'Inputs'!$D$57</x:f>
        <x:v>9439.841269999997</x:v>
      </x:c>
      <x:c r="G28" s="26" t="n">
        <x:f>D28-F28</x:f>
        <x:v>7705.208730000002</x:v>
      </x:c>
      <x:c r="H28" s="9" t="n">
        <x:f>G28/D28</x:f>
        <x:v>0.4494130218342905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 t="n">
        <x:v>100</x:v>
      </x:c>
      <x:c r="D29" s="26" t="n">
        <x:f>C29*$D$8</x:f>
        <x:v>34290.1</x:v>
      </x:c>
      <x:c r="E29" s="26" t="n">
        <x:f>'Inputs'!$D$58+'Inputs'!$D$59+IF(D29&lt;='Inputs'!$D$65,0,IF(D29&lt;=50000,'Inputs'!$D$66,'Inputs'!$D$67))+MAX(0,'Inputs'!$D$42-C29*$D$7*'Cost Build'!E12)+MAX(0,'Inputs'!$D$49-C29*$D$7*'Cost Build'!E44)+MAX(0,C29*$D$7*'Workloads'!E21*'Inputs'!$D$62-'Inputs'!$D$60)*'Inputs'!$D$61</x:f>
        <x:v>725</x:v>
      </x:c>
      <x:c r="F29" s="26" t="n">
        <x:f>E29+C29*$D$7*'Cost Build'!E37+D29*'Inputs'!$D$56+C29*'Inputs'!$D$57</x:f>
        <x:v>18154.682539999994</x:v>
      </x:c>
      <x:c r="G29" s="26" t="n">
        <x:f>D29-F29</x:f>
        <x:v>16135.417460000004</x:v>
      </x:c>
      <x:c r="H29" s="9" t="n">
        <x:f>G29/D29</x:f>
        <x:v>0.4705561506090681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30" hidden="0" customWidth="1"/>
    <x:col min="5" max="5" width="82" hidden="0" customWidth="1"/>
    <x:col min="6" max="6" width="82" hidden="0" customWidth="1"/>
    <x:col min="7" max="7" width="3" hidden="0" customWidth="1"/>
    <x:col min="8" max="8" width="63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2" customHeight="1">
      <x:c r="A2" s="1"/>
      <x:c r="B2" s="1"/>
      <x:c r="C2" s="2" t="str">
        <x:v>Sources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2" customHeight="1">
      <x:c r="A3" s="1"/>
      <x:c r="B3" s="1"/>
      <x:c r="C3" s="3" t="str">
        <x:v>Monthly USD • planning assumptions • 16 Oct 2026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0" customHeight="1">
      <x:c r="A5" s="1"/>
      <x:c r="B5" s="1"/>
      <x:c r="C5" s="7" t="str">
        <x:v>ID</x:v>
      </x:c>
      <x:c r="D5" s="7" t="str">
        <x:v>Source</x:v>
      </x:c>
      <x:c r="E5" s="7" t="str">
        <x:v>URL or repository path</x:v>
      </x:c>
      <x:c r="F5" s="7" t="str">
        <x:v>Basis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2" customHeight="1">
      <x:c r="A6" s="1"/>
      <x:c r="B6" s="1"/>
      <x:c r="C6" s="1" t="str">
        <x:v>DEEPSEEK</x:v>
      </x:c>
      <x:c r="D6" s="1" t="str">
        <x:v>DeepSeek V4.1 Flash routes</x:v>
      </x:c>
      <x:c r="E6" s="1" t="str">
        <x:v>https://vercel.com/ai-gateway/models/deepseek-v4.1-flash</x:v>
      </x:c>
      <x:c r="F6" s="1" t="str">
        <x:v>Stable route 0.30 / 0.03 / 1.20; promo separately.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1"/>
      <x:c r="B7" s="1"/>
      <x:c r="C7" s="1" t="str">
        <x:v>KIMI</x:v>
      </x:c>
      <x:c r="D7" s="1" t="str">
        <x:v>Kimi K3</x:v>
      </x:c>
      <x:c r="E7" s="1" t="str">
        <x:v>https://vercel.com/ai-gateway/models/kimi-k3</x:v>
      </x:c>
      <x:c r="F7" s="1" t="str">
        <x:v>3 / 0.30 / 15 per million tokens.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1"/>
      <x:c r="B8" s="1"/>
      <x:c r="C8" s="1" t="str">
        <x:v>GLM</x:v>
      </x:c>
      <x:c r="D8" s="1" t="str">
        <x:v>GLM 5.3 Flash</x:v>
      </x:c>
      <x:c r="E8" s="1" t="str">
        <x:v>https://vercel.com/ai-gateway/models/glm-5.3-flash</x:v>
      </x:c>
      <x:c r="F8" s="1" t="str">
        <x:v>0.15 / 0.03 / 0.50 route; Modal is higher.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1"/>
      <x:c r="B9" s="1"/>
      <x:c r="C9" s="1" t="str">
        <x:v>OPENAI</x:v>
      </x:c>
      <x:c r="D9" s="1" t="str">
        <x:v>GPT 6 Sol</x:v>
      </x:c>
      <x:c r="E9" s="1" t="str">
        <x:v>https://developers.openai.com/api/docs/models/gpt-6-sol</x:v>
      </x:c>
      <x:c r="F9" s="1" t="str">
        <x:v>2 / 0.20 / 2.50 cache write / 10; standard short context.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1"/>
      <x:c r="B10" s="1"/>
      <x:c r="C10" s="1" t="str">
        <x:v>CLAUDE</x:v>
      </x:c>
      <x:c r="D10" s="1" t="str">
        <x:v>Claude API pricing</x:v>
      </x:c>
      <x:c r="E10" s="1" t="str">
        <x:v>https://platform.claude.com/docs/en/about-claude/pricing</x:v>
      </x:c>
      <x:c r="F10" s="1" t="str">
        <x:v>Sonnet 5.5: 2 / 0.10 / 2.50 / 10; Opus 5.5: 4 / 0.20 / 5 / 20.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1"/>
      <x:c r="B11" s="1"/>
      <x:c r="C11" s="1" t="str">
        <x:v>EMBED</x:v>
      </x:c>
      <x:c r="D11" s="1" t="str">
        <x:v>Qwen3 Embedding 4B</x:v>
      </x:c>
      <x:c r="E11" s="1" t="str">
        <x:v>https://vercel.com/ai-gateway/models/qwen3-embedding-4b</x:v>
      </x:c>
      <x:c r="F11" s="1" t="str">
        <x:v>0.02 per million input tokens.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1"/>
      <x:c r="B12" s="1"/>
      <x:c r="C12" s="1" t="str">
        <x:v>RERANK</x:v>
      </x:c>
      <x:c r="D12" s="1" t="str">
        <x:v>Voyage reranking</x:v>
      </x:c>
      <x:c r="E12" s="1" t="str">
        <x:v>https://docs.voyageai.com/docs/pricing</x:v>
      </x:c>
      <x:c r="F12" s="1" t="str">
        <x:v>Rerank 2.5: 0.05 per million tokens; query repeats for each candidate.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1"/>
      <x:c r="B13" s="1"/>
      <x:c r="C13" s="1" t="str">
        <x:v>BLAXEL</x:v>
      </x:c>
      <x:c r="D13" s="1" t="str">
        <x:v>Blaxel</x:v>
      </x:c>
      <x:c r="E13" s="1" t="str">
        <x:v>https://blaxel.ai/pricing</x:v>
      </x:c>
      <x:c r="F13" s="1" t="str">
        <x:v>0.0000115 / GB-second; snapshots 0.20 / GB-month; volumes 0.12.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1"/>
      <x:c r="B14" s="1"/>
      <x:c r="C14" s="1" t="str">
        <x:v>BROWSER</x:v>
      </x:c>
      <x:c r="D14" s="1" t="str">
        <x:v>Browserbase</x:v>
      </x:c>
      <x:c r="E14" s="1" t="str">
        <x:v>https://www.browserbase.com/pricing</x:v>
      </x:c>
      <x:c r="F14" s="1" t="str">
        <x:v>Startup 99 includes 500 hours, then 0.10/hour. Proxies extra.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1"/>
      <x:c r="B15" s="1"/>
      <x:c r="C15" s="1" t="str">
        <x:v>STEEL</x:v>
      </x:c>
      <x:c r="D15" s="1" t="str">
        <x:v>Steel</x:v>
      </x:c>
      <x:c r="E15" s="1" t="str">
        <x:v>https://steel.dev/pricing</x:v>
      </x:c>
      <x:c r="F15" s="1" t="str">
        <x:v>Scale 250 includes 100 usage credits; 0.08/hour.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1"/>
      <x:c r="B16" s="1"/>
      <x:c r="C16" s="1" t="str">
        <x:v>GIT</x:v>
      </x:c>
      <x:c r="D16" s="1" t="str">
        <x:v>Code Storage</x:v>
      </x:c>
      <x:c r="E16" s="1" t="str">
        <x:v>https://code.storage/pricing</x:v>
      </x:c>
      <x:c r="F16" s="1" t="str">
        <x:v>Hot 0.005/GB-hour; cold 0.0002; ingress 0.06; egress 0.15. Minimum 20.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1"/>
      <x:c r="B17" s="1"/>
      <x:c r="C17" s="1" t="str">
        <x:v>CF_GIT</x:v>
      </x:c>
      <x:c r="D17" s="1" t="str">
        <x:v>Cloudflare Artifacts</x:v>
      </x:c>
      <x:c r="E17" s="1" t="str">
        <x:v>https://developers.cloudflare.com/artifacts/platform/pricing/</x:v>
      </x:c>
      <x:c r="F17" s="1" t="str">
        <x:v>0.50/GB-month and 0.15/1000 operations beyond allowances.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1"/>
      <x:c r="B18" s="1"/>
      <x:c r="C18" s="1" t="str">
        <x:v>R2</x:v>
      </x:c>
      <x:c r="D18" s="1" t="str">
        <x:v>Cloudflare R2</x:v>
      </x:c>
      <x:c r="E18" s="1" t="str">
        <x:v>https://developers.cloudflare.com/r2/pricing/</x:v>
      </x:c>
      <x:c r="F18" s="1" t="str">
        <x:v>0.015/GB-month; operations billed separately; no egress fee.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1"/>
      <x:c r="B19" s="1"/>
      <x:c r="C19" s="1" t="str">
        <x:v>RAILWAY</x:v>
      </x:c>
      <x:c r="D19" s="1" t="str">
        <x:v>Railway</x:v>
      </x:c>
      <x:c r="E19" s="1" t="str">
        <x:v>https://railway.com/pricing</x:v>
      </x:c>
      <x:c r="F19" s="1" t="str">
        <x:v>RAM 0.00000386/GB-second; disk 0.00000006/GB-second; egress 0.05/GB.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1"/>
      <x:c r="B20" s="1"/>
      <x:c r="C20" s="1" t="str">
        <x:v>VOICE</x:v>
      </x:c>
      <x:c r="D20" s="1" t="str">
        <x:v>Deepgram Nova 3</x:v>
      </x:c>
      <x:c r="E20" s="1" t="str">
        <x:v>https://deepgram.com/pricing</x:v>
      </x:c>
      <x:c r="F20" s="1" t="str">
        <x:v>Regular mono streaming 0.0077/min + keyterm 0.0013; not promo.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1"/>
      <x:c r="B21" s="1"/>
      <x:c r="C21" s="1" t="str">
        <x:v>RTC</x:v>
      </x:c>
      <x:c r="D21" s="1" t="str">
        <x:v>LiveKit</x:v>
      </x:c>
      <x:c r="E21" s="1" t="str">
        <x:v>https://livekit.com/pricing</x:v>
      </x:c>
      <x:c r="F21" s="1" t="str">
        <x:v>Ship 50; 150,000 participant minutes; overage 0.0005/min.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1"/>
      <x:c r="B22" s="1"/>
      <x:c r="C22" s="1" t="str">
        <x:v>SEARCH</x:v>
      </x:c>
      <x:c r="D22" s="1" t="str">
        <x:v>Exa</x:v>
      </x:c>
      <x:c r="E22" s="1" t="str">
        <x:v>https://exa.ai/pricing</x:v>
      </x:c>
      <x:c r="F22" s="1" t="str">
        <x:v>Auto search 0.007 up to 10 results; content fetch 0.001/page.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1"/>
      <x:c r="B23" s="1"/>
      <x:c r="C23" s="1" t="str">
        <x:v>STRIPE</x:v>
      </x:c>
      <x:c r="D23" s="1" t="str">
        <x:v>Stripe payments</x:v>
      </x:c>
      <x:c r="E23" s="1" t="str">
        <x:v>https://stripe.com/pricing</x:v>
      </x:c>
      <x:c r="F23" s="1" t="str">
        <x:v>US domestic cards 2.9% + 0.30. Other payment methods differ.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1"/>
      <x:c r="B24" s="1"/>
      <x:c r="C24" s="1" t="str">
        <x:v>BILLING</x:v>
      </x:c>
      <x:c r="D24" s="1" t="str">
        <x:v>Stripe Billing</x:v>
      </x:c>
      <x:c r="E24" s="1" t="str">
        <x:v>https://stripe.com/billing/pricing</x:v>
      </x:c>
      <x:c r="F24" s="1" t="str">
        <x:v>0.7% of billing volume; applied to all model revenue conservatively.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1"/>
      <x:c r="B25" s="1"/>
      <x:c r="C25" s="1" t="str">
        <x:v>AUTUMN</x:v>
      </x:c>
      <x:c r="D25" s="1" t="str">
        <x:v>Autumn</x:v>
      </x:c>
      <x:c r="E25" s="1" t="str">
        <x:v>https://useautumn.com/pricing</x:v>
      </x:c>
      <x:c r="F25" s="1" t="str">
        <x:v>Free through 8k monthly billing; Pro 375 through 50k; above needs quote.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1"/>
      <x:c r="B26" s="1"/>
      <x:c r="C26" s="1" t="str">
        <x:v>CURSOR</x:v>
      </x:c>
      <x:c r="D26" s="1" t="str">
        <x:v>Cursor current pricing</x:v>
      </x:c>
      <x:c r="E26" s="1" t="str">
        <x:v>https://cursor.com/pricing</x:v>
      </x:c>
      <x:c r="F26" s="1" t="str">
        <x:v>Teams 30+ per user; third-party models separate at API list price.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1"/>
      <x:c r="B27" s="1"/>
      <x:c r="C27" s="1" t="str">
        <x:v>SIWC</x:v>
      </x:c>
      <x:c r="D27" s="1" t="str">
        <x:v>OpenAI token sharing eligibility</x:v>
      </x:c>
      <x:c r="E27" s="1" t="str">
        <x:v>https://developers.openai.com/siwc/token-sharing-open-source</x:v>
      </x:c>
      <x:c r="F27" s="1" t="str">
        <x:v>Paid or remotely hosted apps must complete commercial interest process.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1"/>
      <x:c r="B28" s="1"/>
      <x:c r="C28" s="1" t="str">
        <x:v>CLAUDE_AUTH</x:v>
      </x:c>
      <x:c r="D28" s="1" t="str">
        <x:v>Claude Code legal compliance</x:v>
      </x:c>
      <x:c r="E28" s="1" t="str">
        <x:v>https://code.claude.com/docs/en/legal-and-compliance</x:v>
      </x:c>
      <x:c r="F28" s="1" t="str">
        <x:v>Own-app OAuth prohibited; unmodified hosted CLI with direct end-user auth/payment permitted under conditions.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1"/>
      <x:c r="B29" s="1"/>
      <x:c r="C29" s="1" t="str">
        <x:v>ARCH</x:v>
      </x:c>
      <x:c r="D29" s="1" t="str">
        <x:v>Lor docs and code</x:v>
      </x:c>
      <x:c r="E29" s="1" t="str">
        <x:v>../../reference/README.md</x:v>
      </x:c>
      <x:c r="F29" s="1" t="str">
        <x:v>Current, planned and archived docs reconciled with billing implementation.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1"/>
      <x:c r="B30" s="1"/>
      <x:c r="C30" s="1" t="str">
        <x:v>PLAN</x:v>
      </x:c>
      <x:c r="D30" s="1" t="str">
        <x:v>Pricing proposal</x:v>
      </x:c>
      <x:c r="E30" s="1" t="str">
        <x:v>../../reference/planned/pricing-and-billing.md</x:v>
      </x:c>
      <x:c r="F30" s="1" t="str">
        <x:v>Proposed prices, workload hypotheses and operational policy.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22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22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22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22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22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22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22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 ht="22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 ht="22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 ht="22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 ht="22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 ht="22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 ht="22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 ht="22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 ht="22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 ht="22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 ht="22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 ht="22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 ht="22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 ht="22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 ht="22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 ht="22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 ht="22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 ht="22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 ht="22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 ht="22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 ht="22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 ht="22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 ht="22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 ht="22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 ht="22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 ht="22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 ht="22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 ht="22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 ht="22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 ht="22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 ht="22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 ht="22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 ht="22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 ht="22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</x:sheetData>
  <x:pageMargins left="0.7" right="0.7" top="0.75" bottom="0.75" header="0.3" footer="0.3"/>
</x:worksheet>
</file>